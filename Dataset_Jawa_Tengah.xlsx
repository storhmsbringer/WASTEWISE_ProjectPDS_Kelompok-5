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bulan Sampah 23-25 fix (26)" sheetId="1" r:id="rId4"/>
    <sheet state="visible" name="Capaian Pengelolaan Sampah 23-2" sheetId="2" r:id="rId5"/>
    <sheet state="visible" name="Sumber Sampah 23-25 fix (26)" sheetId="3" r:id="rId6"/>
    <sheet state="visible" name="PDRB" sheetId="4" r:id="rId7"/>
    <sheet state="visible" name="Penduduk 23-25" sheetId="5" r:id="rId8"/>
    <sheet state="visible" name="Komposisi Sampah" sheetId="6" r:id="rId9"/>
    <sheet state="visible" name="datafix" sheetId="7" r:id="rId10"/>
  </sheets>
  <definedNames/>
  <calcPr/>
  <extLst>
    <ext uri="GoogleSheetsCustomDataVersion2">
      <go:sheetsCustomData xmlns:go="http://customooxmlschemas.google.com/" r:id="rId11" roundtripDataChecksum="lBJ69kaVAbMBvocqQc9eYDjrMVdSmKSL/ZTU2bmdlmk="/>
    </ext>
  </extLst>
</workbook>
</file>

<file path=xl/sharedStrings.xml><?xml version="1.0" encoding="utf-8"?>
<sst xmlns="http://schemas.openxmlformats.org/spreadsheetml/2006/main" count="1038" uniqueCount="101">
  <si>
    <t>tahun</t>
  </si>
  <si>
    <t>periode</t>
  </si>
  <si>
    <t>nama_provinsi</t>
  </si>
  <si>
    <t>nama_kabkota</t>
  </si>
  <si>
    <t>jml_timbulan_harian</t>
  </si>
  <si>
    <t>jml_timbulan_tahun</t>
  </si>
  <si>
    <t>Jawa Tengah</t>
  </si>
  <si>
    <t>Kab. Cilacap</t>
  </si>
  <si>
    <t>jml_pengurangan_tahun</t>
  </si>
  <si>
    <t>rumah_tangga</t>
  </si>
  <si>
    <t>Kab. Kebumen</t>
  </si>
  <si>
    <t>persen_pengurangan</t>
  </si>
  <si>
    <t>perkantoran</t>
  </si>
  <si>
    <t>jml_penanganan_tahun</t>
  </si>
  <si>
    <t>perniagaan</t>
  </si>
  <si>
    <t>Kab. Purworejo</t>
  </si>
  <si>
    <t>persen_penanganan</t>
  </si>
  <si>
    <t>pasar</t>
  </si>
  <si>
    <t>jml_kelola</t>
  </si>
  <si>
    <t>fasilitas_publik</t>
  </si>
  <si>
    <t>persen_kelola</t>
  </si>
  <si>
    <t>lainnya</t>
  </si>
  <si>
    <t>Kab. Wonosobo</t>
  </si>
  <si>
    <t>jml_daur_ulang</t>
  </si>
  <si>
    <t>kawasan</t>
  </si>
  <si>
    <t>jml_bahan_baku</t>
  </si>
  <si>
    <t>Kab. Magelang</t>
  </si>
  <si>
    <t>persen_recycling_rate</t>
  </si>
  <si>
    <t>jml_sampah_tpa_sanitary_control</t>
  </si>
  <si>
    <t>Kab. Boyolali</t>
  </si>
  <si>
    <t>jml_sampah_tpa_open_dumping</t>
  </si>
  <si>
    <t>Kab. Klaten</t>
  </si>
  <si>
    <t>Kab. Sukoharjo</t>
  </si>
  <si>
    <t>Kab. Wonogiri</t>
  </si>
  <si>
    <t>Kab. Karanganyar</t>
  </si>
  <si>
    <t>Kab. Sragen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</si>
  <si>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</si>
  <si>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</si>
  <si>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</si>
  <si>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</si>
  <si>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</si>
  <si>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</si>
  <si>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</si>
  <si>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</si>
  <si>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</si>
  <si>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</si>
  <si>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</si>
  <si>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</si>
  <si>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</si>
  <si>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</si>
  <si>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</si>
  <si>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Tahun</t>
  </si>
  <si>
    <t>Kabupaten/Kota</t>
  </si>
  <si>
    <t>Produk Domestik Bruto/Produk Domestik Regional Bruto Atas Dasar Harga Konstan 2010</t>
  </si>
  <si>
    <t>Cilacap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</si>
  <si>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</si>
  <si>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</si>
  <si>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</si>
  <si>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</si>
  <si>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</si>
  <si>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</si>
  <si>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</si>
  <si>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</si>
  <si>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</si>
  <si>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</si>
  <si>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Pati</t>
  </si>
  <si>
    <t>Kudus</t>
  </si>
  <si>
    <t>Jepara</t>
  </si>
  <si>
    <t>Demak</t>
  </si>
  <si>
    <t>Semarang</t>
  </si>
  <si>
    <t>Temanggung</t>
  </si>
  <si>
    <t>Kendal</t>
  </si>
  <si>
    <t>Pekalongan</t>
  </si>
  <si>
    <t>Pemalang</t>
  </si>
  <si>
    <t>Tegal</t>
  </si>
  <si>
    <t>Brebes</t>
  </si>
  <si>
    <t>nama_kab_kota</t>
  </si>
  <si>
    <t>Jumlah_Penduduk</t>
  </si>
  <si>
    <t>Laju_Pertumbuhan</t>
  </si>
  <si>
    <t>Persentase_Penduduk</t>
  </si>
  <si>
    <t>Kepadatan_per_km</t>
  </si>
  <si>
    <t>Rasio_Jenis_Kelamin_Penduduk</t>
  </si>
  <si>
    <t>provinsi</t>
  </si>
  <si>
    <t>kabkota</t>
  </si>
  <si>
    <t>Sisa.Makanan</t>
  </si>
  <si>
    <t>Kayu.Ranting</t>
  </si>
  <si>
    <t>Kertas/Karton</t>
  </si>
  <si>
    <t>Plastik</t>
  </si>
  <si>
    <t>Logam</t>
  </si>
  <si>
    <t>Kain</t>
  </si>
  <si>
    <t>Karet/Kulit</t>
  </si>
  <si>
    <t>Kaca</t>
  </si>
  <si>
    <t>Lainnya</t>
  </si>
  <si>
    <t>Kab/Kota</t>
  </si>
  <si>
    <t>Jumlah Penduduk (Jiwa)</t>
  </si>
  <si>
    <t>Kepadatan Penduduk per km persegi (Km2)</t>
  </si>
  <si>
    <t>PDRB</t>
  </si>
  <si>
    <t>Sumber Sampah</t>
  </si>
  <si>
    <t>Komposisi Sampah</t>
  </si>
  <si>
    <t>Sisa Makanan</t>
  </si>
  <si>
    <t>Kayu Ranting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</si>
</sst>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color theme="1"/>
      <name val="Arial"/>
    </font>
    <font>
      <sz val="11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>
        <v>2023.0</v>
      </c>
      <c r="B2" s="1">
        <v>2.0</v>
      </c>
      <c r="C2" s="1" t="s">
        <v>6</v>
      </c>
      <c r="D2" s="1" t="s">
        <v>7</v>
      </c>
      <c r="E2" s="1">
        <v>954.5386</v>
      </c>
      <c r="F2" s="1">
        <v>348406.5744</v>
      </c>
    </row>
    <row r="3" ht="14.25" customHeight="1">
      <c r="A3" s="1">
        <v>2023.0</v>
      </c>
      <c r="B3" s="1">
        <v>2.0</v>
      </c>
      <c r="C3" s="1" t="s">
        <v>6</v>
      </c>
      <c r="D3" s="1" t="s">
        <v>10</v>
      </c>
      <c r="E3" s="1">
        <v>483.1886</v>
      </c>
      <c r="F3" s="1">
        <v>176363.8463</v>
      </c>
    </row>
    <row r="4" ht="14.25" customHeight="1">
      <c r="A4" s="1">
        <v>2023.0</v>
      </c>
      <c r="B4" s="1">
        <v>2.0</v>
      </c>
      <c r="C4" s="1" t="s">
        <v>6</v>
      </c>
      <c r="D4" s="1" t="s">
        <v>15</v>
      </c>
      <c r="E4" s="1">
        <v>321.734</v>
      </c>
      <c r="F4" s="1">
        <v>117432.91</v>
      </c>
    </row>
    <row r="5" ht="14.25" customHeight="1">
      <c r="A5" s="1">
        <v>2023.0</v>
      </c>
      <c r="B5" s="1">
        <v>2.0</v>
      </c>
      <c r="C5" s="1" t="s">
        <v>6</v>
      </c>
      <c r="D5" s="1" t="s">
        <v>22</v>
      </c>
      <c r="E5" s="1">
        <v>363.8656</v>
      </c>
      <c r="F5" s="1">
        <v>132810.944</v>
      </c>
    </row>
    <row r="6" ht="14.25" customHeight="1">
      <c r="A6" s="1">
        <v>2023.0</v>
      </c>
      <c r="B6" s="1">
        <v>2.0</v>
      </c>
      <c r="C6" s="1" t="s">
        <v>6</v>
      </c>
      <c r="D6" s="1" t="s">
        <v>26</v>
      </c>
      <c r="E6" s="1">
        <v>662.378</v>
      </c>
      <c r="F6" s="1">
        <v>241767.97</v>
      </c>
    </row>
    <row r="7" ht="14.25" customHeight="1">
      <c r="A7" s="1">
        <v>2023.0</v>
      </c>
      <c r="B7" s="1">
        <v>2.0</v>
      </c>
      <c r="C7" s="1" t="s">
        <v>6</v>
      </c>
      <c r="D7" s="1" t="s">
        <v>29</v>
      </c>
      <c r="E7" s="1">
        <v>296.9141</v>
      </c>
      <c r="F7" s="1">
        <v>108373.66</v>
      </c>
    </row>
    <row r="8" ht="14.25" customHeight="1">
      <c r="A8" s="1">
        <v>2023.0</v>
      </c>
      <c r="B8" s="1">
        <v>2.0</v>
      </c>
      <c r="C8" s="1" t="s">
        <v>6</v>
      </c>
      <c r="D8" s="1" t="s">
        <v>31</v>
      </c>
      <c r="E8" s="1">
        <v>649.454</v>
      </c>
      <c r="F8" s="1">
        <v>237050.7038</v>
      </c>
    </row>
    <row r="9" ht="14.25" customHeight="1">
      <c r="A9" s="1">
        <v>2023.0</v>
      </c>
      <c r="B9" s="1">
        <v>2.0</v>
      </c>
      <c r="C9" s="1" t="s">
        <v>6</v>
      </c>
      <c r="D9" s="1" t="s">
        <v>32</v>
      </c>
      <c r="E9" s="1">
        <v>364.698</v>
      </c>
      <c r="F9" s="1">
        <v>133114.77</v>
      </c>
    </row>
    <row r="10" ht="14.25" customHeight="1">
      <c r="A10" s="1">
        <v>2023.0</v>
      </c>
      <c r="B10" s="1">
        <v>2.0</v>
      </c>
      <c r="C10" s="1" t="s">
        <v>6</v>
      </c>
      <c r="D10" s="1" t="s">
        <v>33</v>
      </c>
      <c r="E10" s="1">
        <v>350.6822</v>
      </c>
      <c r="F10" s="1">
        <v>127999.02</v>
      </c>
    </row>
    <row r="11" ht="14.25" customHeight="1">
      <c r="A11" s="1">
        <v>2023.0</v>
      </c>
      <c r="B11" s="1">
        <v>2.0</v>
      </c>
      <c r="C11" s="1" t="s">
        <v>6</v>
      </c>
      <c r="D11" s="1" t="s">
        <v>34</v>
      </c>
      <c r="E11" s="1">
        <v>380.3132</v>
      </c>
      <c r="F11" s="1">
        <v>138814.318</v>
      </c>
    </row>
    <row r="12" ht="14.25" customHeight="1">
      <c r="A12" s="1">
        <v>2023.0</v>
      </c>
      <c r="B12" s="1">
        <v>2.0</v>
      </c>
      <c r="C12" s="1" t="s">
        <v>6</v>
      </c>
      <c r="D12" s="1" t="s">
        <v>35</v>
      </c>
      <c r="E12" s="1">
        <v>595.3458</v>
      </c>
      <c r="F12" s="1">
        <v>217301.217</v>
      </c>
    </row>
    <row r="13" ht="14.25" customHeight="1">
      <c r="A13" s="1">
        <v>2023.0</v>
      </c>
      <c r="B13" s="1">
        <v>2.0</v>
      </c>
      <c r="C13" s="1" t="s">
        <v>6</v>
      </c>
      <c r="D13" s="1" t="s">
        <v>36</v>
      </c>
      <c r="E13" s="1">
        <v>687.925</v>
      </c>
      <c r="F13" s="1">
        <v>251092.625</v>
      </c>
    </row>
    <row r="14" ht="14.25" customHeight="1">
      <c r="A14" s="1">
        <v>2023.0</v>
      </c>
      <c r="B14" s="1">
        <v>2.0</v>
      </c>
      <c r="C14" s="1" t="s">
        <v>6</v>
      </c>
      <c r="D14" s="1" t="s">
        <v>37</v>
      </c>
      <c r="E14" s="1">
        <v>435.7845</v>
      </c>
      <c r="F14" s="1">
        <v>159061.3425</v>
      </c>
    </row>
    <row r="15" ht="14.25" customHeight="1">
      <c r="A15" s="1">
        <v>2023.0</v>
      </c>
      <c r="B15" s="1">
        <v>2.0</v>
      </c>
      <c r="C15" s="1" t="s">
        <v>6</v>
      </c>
      <c r="D15" s="1" t="s">
        <v>38</v>
      </c>
      <c r="E15" s="1">
        <v>423.4836</v>
      </c>
      <c r="F15" s="1">
        <v>154571.514</v>
      </c>
    </row>
    <row r="16" ht="14.25" customHeight="1">
      <c r="A16" s="1">
        <v>2023.0</v>
      </c>
      <c r="B16" s="1">
        <v>2.0</v>
      </c>
      <c r="C16" s="1" t="s">
        <v>6</v>
      </c>
      <c r="D16" s="1" t="s">
        <v>39</v>
      </c>
      <c r="E16" s="1">
        <v>733.9302</v>
      </c>
      <c r="F16" s="1">
        <v>267884.523</v>
      </c>
    </row>
    <row r="17" ht="14.25" customHeight="1">
      <c r="A17" s="1">
        <v>2023.0</v>
      </c>
      <c r="B17" s="1">
        <v>2.0</v>
      </c>
      <c r="C17" s="1" t="s">
        <v>6</v>
      </c>
      <c r="D17" s="1" t="s">
        <v>40</v>
      </c>
      <c r="E17" s="1">
        <v>533.156</v>
      </c>
      <c r="F17" s="1">
        <v>194601.94</v>
      </c>
    </row>
    <row r="18" ht="14.25" customHeight="1">
      <c r="A18" s="1">
        <v>2023.0</v>
      </c>
      <c r="B18" s="1">
        <v>2.0</v>
      </c>
      <c r="C18" s="1" t="s">
        <v>6</v>
      </c>
      <c r="D18" s="1" t="s">
        <v>41</v>
      </c>
      <c r="E18" s="1">
        <v>403.72</v>
      </c>
      <c r="F18" s="1">
        <v>147357.8</v>
      </c>
    </row>
    <row r="19" ht="14.25" customHeight="1">
      <c r="A19" s="1">
        <v>2023.0</v>
      </c>
      <c r="B19" s="1">
        <v>2.0</v>
      </c>
      <c r="C19" s="1" t="s">
        <v>6</v>
      </c>
      <c r="D19" s="1" t="s">
        <v>42</v>
      </c>
      <c r="E19" s="1">
        <v>421.36</v>
      </c>
      <c r="F19" s="1">
        <v>153796.4</v>
      </c>
    </row>
    <row r="20" ht="14.25" customHeight="1">
      <c r="A20" s="1">
        <v>2023.0</v>
      </c>
      <c r="B20" s="1">
        <v>2.0</v>
      </c>
      <c r="C20" s="1" t="s">
        <v>6</v>
      </c>
      <c r="D20" s="1" t="s">
        <v>43</v>
      </c>
      <c r="E20" s="1">
        <v>394.582</v>
      </c>
      <c r="F20" s="1">
        <v>144022.43</v>
      </c>
    </row>
    <row r="21" ht="14.25" customHeight="1">
      <c r="A21" s="1">
        <v>2023.0</v>
      </c>
      <c r="B21" s="1">
        <v>2.0</v>
      </c>
      <c r="C21" s="1" t="s">
        <v>6</v>
      </c>
      <c r="D21" s="1" t="s">
        <v>44</v>
      </c>
      <c r="E21" s="1">
        <v>600.3016</v>
      </c>
      <c r="F21" s="1">
        <v>219110.084</v>
      </c>
    </row>
    <row r="22" ht="14.25" customHeight="1">
      <c r="A22" s="1">
        <v>2023.0</v>
      </c>
      <c r="B22" s="1">
        <v>2.0</v>
      </c>
      <c r="C22" s="1" t="s">
        <v>6</v>
      </c>
      <c r="D22" s="1" t="s">
        <v>45</v>
      </c>
      <c r="E22" s="1">
        <v>604.0923</v>
      </c>
      <c r="F22" s="1">
        <v>220493.6895</v>
      </c>
    </row>
    <row r="23" ht="14.25" customHeight="1">
      <c r="A23" s="1">
        <v>2023.0</v>
      </c>
      <c r="B23" s="1">
        <v>2.0</v>
      </c>
      <c r="C23" s="1" t="s">
        <v>6</v>
      </c>
      <c r="D23" s="1" t="s">
        <v>46</v>
      </c>
      <c r="E23" s="1">
        <v>1005.3085</v>
      </c>
      <c r="F23" s="1">
        <v>366937.6025</v>
      </c>
    </row>
    <row r="24" ht="14.25" customHeight="1">
      <c r="A24" s="1">
        <v>2023.0</v>
      </c>
      <c r="B24" s="1">
        <v>2.0</v>
      </c>
      <c r="C24" s="1" t="s">
        <v>6</v>
      </c>
      <c r="D24" s="1" t="s">
        <v>47</v>
      </c>
      <c r="E24" s="1">
        <v>80.5489</v>
      </c>
      <c r="F24" s="1">
        <v>29400.3303</v>
      </c>
    </row>
    <row r="25" ht="14.25" customHeight="1">
      <c r="A25" s="1">
        <v>2023.0</v>
      </c>
      <c r="B25" s="1">
        <v>2.0</v>
      </c>
      <c r="C25" s="1" t="s">
        <v>6</v>
      </c>
      <c r="D25" s="1" t="s">
        <v>48</v>
      </c>
      <c r="E25" s="1">
        <v>419.1087</v>
      </c>
      <c r="F25" s="1">
        <v>152974.6719</v>
      </c>
    </row>
    <row r="26" ht="14.25" customHeight="1">
      <c r="A26" s="1">
        <v>2023.0</v>
      </c>
      <c r="B26" s="1">
        <v>2.0</v>
      </c>
      <c r="C26" s="1" t="s">
        <v>6</v>
      </c>
      <c r="D26" s="1" t="s">
        <v>49</v>
      </c>
      <c r="E26" s="1">
        <v>116.428</v>
      </c>
      <c r="F26" s="1">
        <v>42496.2346</v>
      </c>
    </row>
    <row r="27" ht="14.25" customHeight="1">
      <c r="A27" s="1">
        <v>2023.0</v>
      </c>
      <c r="B27" s="1">
        <v>2.0</v>
      </c>
      <c r="C27" s="1" t="s">
        <v>6</v>
      </c>
      <c r="D27" s="1" t="s">
        <v>50</v>
      </c>
      <c r="E27" s="1">
        <v>1182.2867</v>
      </c>
      <c r="F27" s="1">
        <v>431534.6455</v>
      </c>
    </row>
    <row r="28" ht="14.25" customHeight="1">
      <c r="A28" s="1">
        <v>2024.0</v>
      </c>
      <c r="B28" s="1">
        <v>2.0</v>
      </c>
      <c r="C28" s="1" t="s">
        <v>6</v>
      </c>
      <c r="D28" s="1" t="s">
        <v>7</v>
      </c>
      <c r="E28" s="1">
        <v>963.7579</v>
      </c>
      <c r="F28" s="1">
        <v>351771.64</v>
      </c>
    </row>
    <row r="29" ht="14.25" customHeight="1">
      <c r="A29" s="1">
        <v>2024.0</v>
      </c>
      <c r="B29" s="1">
        <v>2.0</v>
      </c>
      <c r="C29" s="1" t="s">
        <v>6</v>
      </c>
      <c r="D29" s="1" t="s">
        <v>10</v>
      </c>
      <c r="E29" s="1">
        <v>485.1229</v>
      </c>
      <c r="F29" s="1">
        <v>177069.8512</v>
      </c>
    </row>
    <row r="30" ht="14.25" customHeight="1">
      <c r="A30" s="1">
        <v>2024.0</v>
      </c>
      <c r="B30" s="1">
        <v>2.0</v>
      </c>
      <c r="C30" s="1" t="s">
        <v>6</v>
      </c>
      <c r="D30" s="1" t="s">
        <v>15</v>
      </c>
      <c r="E30" s="1">
        <v>323.116</v>
      </c>
      <c r="F30" s="1">
        <v>117937.34</v>
      </c>
    </row>
    <row r="31" ht="14.25" customHeight="1">
      <c r="A31" s="1">
        <v>2024.0</v>
      </c>
      <c r="B31" s="1">
        <v>2.0</v>
      </c>
      <c r="C31" s="1" t="s">
        <v>6</v>
      </c>
      <c r="D31" s="1" t="s">
        <v>22</v>
      </c>
      <c r="E31" s="1">
        <v>363.8656</v>
      </c>
      <c r="F31" s="1">
        <v>132810.944</v>
      </c>
    </row>
    <row r="32" ht="14.25" customHeight="1">
      <c r="A32" s="1">
        <v>2024.0</v>
      </c>
      <c r="B32" s="1">
        <v>2.0</v>
      </c>
      <c r="C32" s="1" t="s">
        <v>6</v>
      </c>
      <c r="D32" s="1" t="s">
        <v>26</v>
      </c>
      <c r="E32" s="1">
        <v>668.7055</v>
      </c>
      <c r="F32" s="1">
        <v>244077.5075</v>
      </c>
    </row>
    <row r="33" ht="14.25" customHeight="1">
      <c r="A33" s="1">
        <v>2024.0</v>
      </c>
      <c r="B33" s="1">
        <v>2.0</v>
      </c>
      <c r="C33" s="1" t="s">
        <v>6</v>
      </c>
      <c r="D33" s="1" t="s">
        <v>29</v>
      </c>
      <c r="E33" s="1">
        <v>299.7934</v>
      </c>
      <c r="F33" s="1">
        <v>109424.6</v>
      </c>
    </row>
    <row r="34" ht="14.25" customHeight="1">
      <c r="A34" s="1">
        <v>2024.0</v>
      </c>
      <c r="B34" s="1">
        <v>2.0</v>
      </c>
      <c r="C34" s="1" t="s">
        <v>6</v>
      </c>
      <c r="D34" s="1" t="s">
        <v>31</v>
      </c>
      <c r="E34" s="1">
        <v>653.9714</v>
      </c>
      <c r="F34" s="1">
        <v>238699.5705</v>
      </c>
    </row>
    <row r="35" ht="14.25" customHeight="1">
      <c r="A35" s="1">
        <v>2024.0</v>
      </c>
      <c r="B35" s="1">
        <v>2.0</v>
      </c>
      <c r="C35" s="1" t="s">
        <v>6</v>
      </c>
      <c r="D35" s="1" t="s">
        <v>32</v>
      </c>
      <c r="E35" s="1">
        <v>366.5888</v>
      </c>
      <c r="F35" s="1">
        <v>133804.912</v>
      </c>
    </row>
    <row r="36" ht="14.25" customHeight="1">
      <c r="A36" s="1">
        <v>2024.0</v>
      </c>
      <c r="B36" s="1">
        <v>2.0</v>
      </c>
      <c r="C36" s="1" t="s">
        <v>6</v>
      </c>
      <c r="D36" s="1" t="s">
        <v>33</v>
      </c>
      <c r="E36" s="1">
        <v>348.4015</v>
      </c>
      <c r="F36" s="1">
        <v>127166.54</v>
      </c>
    </row>
    <row r="37" ht="14.25" customHeight="1">
      <c r="A37" s="1">
        <v>2024.0</v>
      </c>
      <c r="B37" s="1">
        <v>2.0</v>
      </c>
      <c r="C37" s="1" t="s">
        <v>6</v>
      </c>
      <c r="D37" s="1" t="s">
        <v>34</v>
      </c>
      <c r="E37" s="1">
        <v>382.0464</v>
      </c>
      <c r="F37" s="1">
        <v>139446.936</v>
      </c>
    </row>
    <row r="38" ht="14.25" customHeight="1">
      <c r="A38" s="1">
        <v>2024.0</v>
      </c>
      <c r="B38" s="1">
        <v>2.0</v>
      </c>
      <c r="C38" s="1" t="s">
        <v>6</v>
      </c>
      <c r="D38" s="1" t="s">
        <v>35</v>
      </c>
      <c r="E38" s="1">
        <v>598.491</v>
      </c>
      <c r="F38" s="1">
        <v>218449.215</v>
      </c>
    </row>
    <row r="39" ht="14.25" customHeight="1">
      <c r="A39" s="1">
        <v>2024.0</v>
      </c>
      <c r="B39" s="1">
        <v>2.0</v>
      </c>
      <c r="C39" s="1" t="s">
        <v>6</v>
      </c>
      <c r="D39" s="1" t="s">
        <v>36</v>
      </c>
      <c r="E39" s="1">
        <v>679.682</v>
      </c>
      <c r="F39" s="1">
        <v>248083.93</v>
      </c>
    </row>
    <row r="40" ht="14.25" customHeight="1">
      <c r="A40" s="1">
        <v>2024.0</v>
      </c>
      <c r="B40" s="1">
        <v>2.0</v>
      </c>
      <c r="C40" s="1" t="s">
        <v>6</v>
      </c>
      <c r="D40" s="1" t="s">
        <v>37</v>
      </c>
      <c r="E40" s="1">
        <v>438.9105</v>
      </c>
      <c r="F40" s="1">
        <v>160202.3325</v>
      </c>
    </row>
    <row r="41" ht="14.25" customHeight="1">
      <c r="A41" s="1">
        <v>2024.0</v>
      </c>
      <c r="B41" s="1">
        <v>2.0</v>
      </c>
      <c r="C41" s="1" t="s">
        <v>6</v>
      </c>
      <c r="D41" s="1" t="s">
        <v>38</v>
      </c>
      <c r="E41" s="1">
        <v>432.6466</v>
      </c>
      <c r="F41" s="1">
        <v>157915.9908</v>
      </c>
    </row>
    <row r="42" ht="14.25" customHeight="1">
      <c r="A42" s="1">
        <v>2024.0</v>
      </c>
      <c r="B42" s="1">
        <v>2.0</v>
      </c>
      <c r="C42" s="1" t="s">
        <v>6</v>
      </c>
      <c r="D42" s="1" t="s">
        <v>39</v>
      </c>
      <c r="E42" s="1">
        <v>626.485</v>
      </c>
      <c r="F42" s="1">
        <v>228667.025</v>
      </c>
    </row>
    <row r="43" ht="14.25" customHeight="1">
      <c r="A43" s="1">
        <v>2024.0</v>
      </c>
      <c r="B43" s="1">
        <v>2.0</v>
      </c>
      <c r="C43" s="1" t="s">
        <v>6</v>
      </c>
      <c r="D43" s="1" t="s">
        <v>40</v>
      </c>
      <c r="E43" s="1">
        <v>538.956</v>
      </c>
      <c r="F43" s="1">
        <v>196718.94</v>
      </c>
    </row>
    <row r="44" ht="14.25" customHeight="1">
      <c r="A44" s="1">
        <v>2024.0</v>
      </c>
      <c r="B44" s="1">
        <v>2.0</v>
      </c>
      <c r="C44" s="1" t="s">
        <v>6</v>
      </c>
      <c r="D44" s="1" t="s">
        <v>41</v>
      </c>
      <c r="E44" s="1">
        <v>405.899</v>
      </c>
      <c r="F44" s="1">
        <v>148153.135</v>
      </c>
    </row>
    <row r="45" ht="14.25" customHeight="1">
      <c r="A45" s="1">
        <v>2024.0</v>
      </c>
      <c r="B45" s="1">
        <v>2.0</v>
      </c>
      <c r="C45" s="1" t="s">
        <v>6</v>
      </c>
      <c r="D45" s="1" t="s">
        <v>42</v>
      </c>
      <c r="E45" s="1">
        <v>437.2184</v>
      </c>
      <c r="F45" s="1">
        <v>159584.716</v>
      </c>
    </row>
    <row r="46" ht="14.25" customHeight="1">
      <c r="A46" s="1">
        <v>2024.0</v>
      </c>
      <c r="B46" s="1">
        <v>2.0</v>
      </c>
      <c r="C46" s="1" t="s">
        <v>6</v>
      </c>
      <c r="D46" s="1" t="s">
        <v>43</v>
      </c>
      <c r="E46" s="1">
        <v>402.9536</v>
      </c>
      <c r="F46" s="1">
        <v>147078.064</v>
      </c>
    </row>
    <row r="47" ht="14.25" customHeight="1">
      <c r="A47" s="1">
        <v>2024.0</v>
      </c>
      <c r="B47" s="1">
        <v>2.0</v>
      </c>
      <c r="C47" s="1" t="s">
        <v>6</v>
      </c>
      <c r="D47" s="1" t="s">
        <v>44</v>
      </c>
      <c r="E47" s="1">
        <v>472.3228</v>
      </c>
      <c r="F47" s="1">
        <v>172397.8293</v>
      </c>
    </row>
    <row r="48" ht="14.25" customHeight="1">
      <c r="A48" s="1">
        <v>2024.0</v>
      </c>
      <c r="B48" s="1">
        <v>2.0</v>
      </c>
      <c r="C48" s="1" t="s">
        <v>6</v>
      </c>
      <c r="D48" s="1" t="s">
        <v>45</v>
      </c>
      <c r="E48" s="1">
        <v>661.944</v>
      </c>
      <c r="F48" s="1">
        <v>241609.56</v>
      </c>
    </row>
    <row r="49" ht="14.25" customHeight="1">
      <c r="A49" s="1">
        <v>2024.0</v>
      </c>
      <c r="B49" s="1">
        <v>2.0</v>
      </c>
      <c r="C49" s="1" t="s">
        <v>6</v>
      </c>
      <c r="D49" s="1" t="s">
        <v>46</v>
      </c>
      <c r="E49" s="1">
        <v>1021.5385</v>
      </c>
      <c r="F49" s="1">
        <v>372861.5525</v>
      </c>
    </row>
    <row r="50" ht="14.25" customHeight="1">
      <c r="A50" s="1">
        <v>2024.0</v>
      </c>
      <c r="B50" s="1">
        <v>2.0</v>
      </c>
      <c r="C50" s="1" t="s">
        <v>6</v>
      </c>
      <c r="D50" s="1" t="s">
        <v>47</v>
      </c>
      <c r="E50" s="1">
        <v>80.8633</v>
      </c>
      <c r="F50" s="1">
        <v>29515.1045</v>
      </c>
    </row>
    <row r="51" ht="14.25" customHeight="1">
      <c r="A51" s="1">
        <v>2024.0</v>
      </c>
      <c r="B51" s="1">
        <v>2.0</v>
      </c>
      <c r="C51" s="1" t="s">
        <v>6</v>
      </c>
      <c r="D51" s="1" t="s">
        <v>48</v>
      </c>
      <c r="E51" s="1">
        <v>420.1669</v>
      </c>
      <c r="F51" s="1">
        <v>153360.9149</v>
      </c>
    </row>
    <row r="52" ht="14.25" customHeight="1">
      <c r="A52" s="1">
        <v>2024.0</v>
      </c>
      <c r="B52" s="1">
        <v>2.0</v>
      </c>
      <c r="C52" s="1" t="s">
        <v>6</v>
      </c>
      <c r="D52" s="1" t="s">
        <v>49</v>
      </c>
      <c r="E52" s="1">
        <v>115.0558</v>
      </c>
      <c r="F52" s="1">
        <v>41995.3524</v>
      </c>
    </row>
    <row r="53" ht="14.25" customHeight="1">
      <c r="A53" s="1">
        <v>2024.0</v>
      </c>
      <c r="B53" s="1">
        <v>2.0</v>
      </c>
      <c r="C53" s="1" t="s">
        <v>6</v>
      </c>
      <c r="D53" s="1" t="s">
        <v>50</v>
      </c>
      <c r="E53" s="1">
        <v>1189.7095</v>
      </c>
      <c r="F53" s="1">
        <v>434243.9675</v>
      </c>
    </row>
    <row r="54" ht="14.25" customHeight="1">
      <c r="A54" s="1">
        <v>2025.0</v>
      </c>
      <c r="B54" s="1">
        <v>2.0</v>
      </c>
      <c r="C54" s="1" t="s">
        <v>6</v>
      </c>
      <c r="D54" s="1" t="s">
        <v>7</v>
      </c>
      <c r="E54" s="1">
        <v>988.679</v>
      </c>
      <c r="F54" s="1">
        <v>360867.85</v>
      </c>
    </row>
    <row r="55" ht="14.25" customHeight="1">
      <c r="A55" s="1">
        <v>2025.0</v>
      </c>
      <c r="B55" s="1">
        <v>2.0</v>
      </c>
      <c r="C55" s="1" t="s">
        <v>6</v>
      </c>
      <c r="D55" s="1" t="s">
        <v>10</v>
      </c>
      <c r="E55" s="1">
        <v>720.7125</v>
      </c>
      <c r="F55" s="1">
        <v>263060.0625</v>
      </c>
    </row>
    <row r="56" ht="14.25" customHeight="1">
      <c r="A56" s="1">
        <v>2025.0</v>
      </c>
      <c r="B56" s="1">
        <v>2.0</v>
      </c>
      <c r="C56" s="1" t="s">
        <v>6</v>
      </c>
      <c r="D56" s="1" t="s">
        <v>15</v>
      </c>
      <c r="E56" s="1">
        <v>323.8604</v>
      </c>
      <c r="F56" s="1">
        <v>118209.046</v>
      </c>
    </row>
    <row r="57" ht="14.25" customHeight="1">
      <c r="A57" s="1">
        <v>2025.0</v>
      </c>
      <c r="B57" s="1">
        <v>2.0</v>
      </c>
      <c r="C57" s="1" t="s">
        <v>6</v>
      </c>
      <c r="D57" s="1" t="s">
        <v>22</v>
      </c>
      <c r="E57" s="1">
        <v>368.2024</v>
      </c>
      <c r="F57" s="1">
        <v>134393.876</v>
      </c>
    </row>
    <row r="58" ht="14.25" customHeight="1">
      <c r="A58" s="1">
        <v>2025.0</v>
      </c>
      <c r="B58" s="1">
        <v>2.0</v>
      </c>
      <c r="C58" s="1" t="s">
        <v>6</v>
      </c>
      <c r="D58" s="1" t="s">
        <v>26</v>
      </c>
      <c r="E58" s="1">
        <v>672.831</v>
      </c>
      <c r="F58" s="1">
        <v>245583.315</v>
      </c>
    </row>
    <row r="59" ht="14.25" customHeight="1">
      <c r="A59" s="1">
        <v>2025.0</v>
      </c>
      <c r="B59" s="1">
        <v>2.0</v>
      </c>
      <c r="C59" s="1" t="s">
        <v>6</v>
      </c>
      <c r="D59" s="1" t="s">
        <v>29</v>
      </c>
      <c r="E59" s="1">
        <v>301.62</v>
      </c>
      <c r="F59" s="1">
        <v>110091.3</v>
      </c>
    </row>
    <row r="60" ht="14.25" customHeight="1">
      <c r="A60" s="1">
        <v>2025.0</v>
      </c>
      <c r="B60" s="1">
        <v>2.0</v>
      </c>
      <c r="C60" s="1" t="s">
        <v>6</v>
      </c>
      <c r="D60" s="1" t="s">
        <v>31</v>
      </c>
      <c r="E60" s="1">
        <v>655.7591</v>
      </c>
      <c r="F60" s="1">
        <v>239352.0671</v>
      </c>
    </row>
    <row r="61" ht="14.25" customHeight="1">
      <c r="A61" s="1">
        <v>2025.0</v>
      </c>
      <c r="B61" s="1">
        <v>2.0</v>
      </c>
      <c r="C61" s="1" t="s">
        <v>6</v>
      </c>
      <c r="D61" s="1" t="s">
        <v>32</v>
      </c>
      <c r="E61" s="1">
        <v>367.444</v>
      </c>
      <c r="F61" s="1">
        <v>134117.06</v>
      </c>
    </row>
    <row r="62" ht="14.25" customHeight="1">
      <c r="A62" s="1">
        <v>2025.0</v>
      </c>
      <c r="B62" s="1">
        <v>2.0</v>
      </c>
      <c r="C62" s="1" t="s">
        <v>6</v>
      </c>
      <c r="D62" s="1" t="s">
        <v>33</v>
      </c>
      <c r="E62" s="1">
        <v>349.5643</v>
      </c>
      <c r="F62" s="1">
        <v>127590.96</v>
      </c>
    </row>
    <row r="63" ht="14.25" customHeight="1">
      <c r="A63" s="1">
        <v>2025.0</v>
      </c>
      <c r="B63" s="1">
        <v>2.0</v>
      </c>
      <c r="C63" s="1" t="s">
        <v>6</v>
      </c>
      <c r="D63" s="1" t="s">
        <v>34</v>
      </c>
      <c r="E63" s="1">
        <v>480.9545</v>
      </c>
      <c r="F63" s="1">
        <v>175548.3925</v>
      </c>
    </row>
    <row r="64" ht="14.25" customHeight="1">
      <c r="A64" s="1">
        <v>2025.0</v>
      </c>
      <c r="B64" s="1">
        <v>2.0</v>
      </c>
      <c r="C64" s="1" t="s">
        <v>6</v>
      </c>
      <c r="D64" s="1" t="s">
        <v>35</v>
      </c>
      <c r="E64" s="1">
        <v>402.9092</v>
      </c>
      <c r="F64" s="1">
        <v>147061.8438</v>
      </c>
    </row>
    <row r="65" ht="14.25" customHeight="1">
      <c r="A65" s="1">
        <v>2025.0</v>
      </c>
      <c r="B65" s="1">
        <v>2.0</v>
      </c>
      <c r="C65" s="1" t="s">
        <v>6</v>
      </c>
      <c r="D65" s="1" t="s">
        <v>36</v>
      </c>
      <c r="E65" s="1">
        <v>690.956</v>
      </c>
      <c r="F65" s="1">
        <v>252198.94</v>
      </c>
    </row>
    <row r="66" ht="14.25" customHeight="1">
      <c r="A66" s="1">
        <v>2025.0</v>
      </c>
      <c r="B66" s="1">
        <v>2.0</v>
      </c>
      <c r="C66" s="1" t="s">
        <v>6</v>
      </c>
      <c r="D66" s="1" t="s">
        <v>37</v>
      </c>
      <c r="E66" s="1">
        <v>440.429</v>
      </c>
      <c r="F66" s="1">
        <v>160756.585</v>
      </c>
    </row>
    <row r="67" ht="14.25" customHeight="1">
      <c r="A67" s="1">
        <v>2025.0</v>
      </c>
      <c r="B67" s="1">
        <v>2.0</v>
      </c>
      <c r="C67" s="1" t="s">
        <v>6</v>
      </c>
      <c r="D67" s="1" t="s">
        <v>38</v>
      </c>
      <c r="E67" s="1">
        <v>460.5077</v>
      </c>
      <c r="F67" s="1">
        <v>168085.3032</v>
      </c>
    </row>
    <row r="68" ht="14.25" customHeight="1">
      <c r="A68" s="1">
        <v>2025.0</v>
      </c>
      <c r="B68" s="1">
        <v>2.0</v>
      </c>
      <c r="C68" s="1" t="s">
        <v>6</v>
      </c>
      <c r="D68" s="1" t="s">
        <v>39</v>
      </c>
      <c r="E68" s="1">
        <v>632.612</v>
      </c>
      <c r="F68" s="1">
        <v>230903.38</v>
      </c>
    </row>
    <row r="69" ht="14.25" customHeight="1">
      <c r="A69" s="1">
        <v>2025.0</v>
      </c>
      <c r="B69" s="1">
        <v>2.0</v>
      </c>
      <c r="C69" s="1" t="s">
        <v>6</v>
      </c>
      <c r="D69" s="1" t="s">
        <v>40</v>
      </c>
      <c r="E69" s="1">
        <v>544.3645</v>
      </c>
      <c r="F69" s="1">
        <v>198693.0425</v>
      </c>
    </row>
    <row r="70" ht="14.25" customHeight="1">
      <c r="A70" s="1">
        <v>2025.0</v>
      </c>
      <c r="B70" s="1">
        <v>2.0</v>
      </c>
      <c r="C70" s="1" t="s">
        <v>6</v>
      </c>
      <c r="D70" s="1" t="s">
        <v>41</v>
      </c>
      <c r="E70" s="1">
        <v>411.44</v>
      </c>
      <c r="F70" s="1">
        <v>150175.6</v>
      </c>
    </row>
    <row r="71" ht="14.25" customHeight="1">
      <c r="A71" s="1">
        <v>2025.0</v>
      </c>
      <c r="B71" s="1">
        <v>2.0</v>
      </c>
      <c r="C71" s="1" t="s">
        <v>6</v>
      </c>
      <c r="D71" s="1" t="s">
        <v>42</v>
      </c>
      <c r="E71" s="1">
        <v>436.662</v>
      </c>
      <c r="F71" s="1">
        <v>159381.63</v>
      </c>
    </row>
    <row r="72" ht="14.25" customHeight="1">
      <c r="A72" s="1">
        <v>2025.0</v>
      </c>
      <c r="B72" s="1">
        <v>2.0</v>
      </c>
      <c r="C72" s="1" t="s">
        <v>6</v>
      </c>
      <c r="D72" s="1" t="s">
        <v>43</v>
      </c>
      <c r="E72" s="1">
        <v>407.6024</v>
      </c>
      <c r="F72" s="1">
        <v>148774.876</v>
      </c>
    </row>
    <row r="73" ht="14.25" customHeight="1">
      <c r="A73" s="1">
        <v>2025.0</v>
      </c>
      <c r="B73" s="1">
        <v>2.0</v>
      </c>
      <c r="C73" s="1" t="s">
        <v>6</v>
      </c>
      <c r="D73" s="1" t="s">
        <v>44</v>
      </c>
      <c r="E73" s="1">
        <v>472.3228</v>
      </c>
      <c r="F73" s="1">
        <v>172397.8293</v>
      </c>
    </row>
    <row r="74" ht="14.25" customHeight="1">
      <c r="A74" s="1">
        <v>2025.0</v>
      </c>
      <c r="B74" s="1">
        <v>2.0</v>
      </c>
      <c r="C74" s="1" t="s">
        <v>6</v>
      </c>
      <c r="D74" s="1" t="s">
        <v>45</v>
      </c>
      <c r="E74" s="1">
        <v>702.9956</v>
      </c>
      <c r="F74" s="1">
        <v>256593.394</v>
      </c>
    </row>
    <row r="75" ht="14.25" customHeight="1">
      <c r="A75" s="1">
        <v>2025.0</v>
      </c>
      <c r="B75" s="1">
        <v>2.0</v>
      </c>
      <c r="C75" s="1" t="s">
        <v>6</v>
      </c>
      <c r="D75" s="1" t="s">
        <v>46</v>
      </c>
      <c r="E75" s="1">
        <v>1032.7505</v>
      </c>
      <c r="F75" s="1">
        <v>376953.9325</v>
      </c>
    </row>
    <row r="76" ht="14.25" customHeight="1">
      <c r="A76" s="1">
        <v>2025.0</v>
      </c>
      <c r="B76" s="1">
        <v>2.0</v>
      </c>
      <c r="C76" s="1" t="s">
        <v>6</v>
      </c>
      <c r="D76" s="1" t="s">
        <v>47</v>
      </c>
      <c r="E76" s="1">
        <v>85.2054</v>
      </c>
      <c r="F76" s="1">
        <v>31099.9557</v>
      </c>
    </row>
    <row r="77" ht="14.25" customHeight="1">
      <c r="A77" s="1">
        <v>2025.0</v>
      </c>
      <c r="B77" s="1">
        <v>2.0</v>
      </c>
      <c r="C77" s="1" t="s">
        <v>6</v>
      </c>
      <c r="D77" s="1" t="s">
        <v>48</v>
      </c>
      <c r="E77" s="1">
        <v>421.4818</v>
      </c>
      <c r="F77" s="1">
        <v>153840.8479</v>
      </c>
    </row>
    <row r="78" ht="14.25" customHeight="1">
      <c r="A78" s="1">
        <v>2025.0</v>
      </c>
      <c r="B78" s="1">
        <v>2.0</v>
      </c>
      <c r="C78" s="1" t="s">
        <v>6</v>
      </c>
      <c r="D78" s="1" t="s">
        <v>49</v>
      </c>
      <c r="E78" s="1">
        <v>115.9768</v>
      </c>
      <c r="F78" s="1">
        <v>42331.532</v>
      </c>
    </row>
    <row r="79" ht="14.25" customHeight="1">
      <c r="A79" s="1">
        <v>2025.0</v>
      </c>
      <c r="B79" s="1">
        <v>2.0</v>
      </c>
      <c r="C79" s="1" t="s">
        <v>6</v>
      </c>
      <c r="D79" s="1" t="s">
        <v>50</v>
      </c>
      <c r="E79" s="1">
        <v>1191.9376</v>
      </c>
      <c r="F79" s="1">
        <v>435057.224</v>
      </c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11</v>
      </c>
      <c r="I1" s="2" t="s">
        <v>13</v>
      </c>
      <c r="J1" s="2" t="s">
        <v>16</v>
      </c>
      <c r="K1" s="2" t="s">
        <v>18</v>
      </c>
      <c r="L1" s="2" t="s">
        <v>20</v>
      </c>
      <c r="M1" s="2" t="s">
        <v>23</v>
      </c>
      <c r="N1" s="2" t="s">
        <v>25</v>
      </c>
      <c r="O1" s="2" t="s">
        <v>27</v>
      </c>
      <c r="P1" s="2" t="s">
        <v>28</v>
      </c>
      <c r="Q1" s="2" t="s">
        <v>30</v>
      </c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2025.0</v>
      </c>
      <c r="B2" s="4">
        <v>2.0</v>
      </c>
      <c r="C2" s="2" t="s">
        <v>6</v>
      </c>
      <c r="D2" s="2" t="s">
        <v>7</v>
      </c>
      <c r="E2" s="4">
        <v>988.679</v>
      </c>
      <c r="F2" s="4">
        <v>360867.9</v>
      </c>
      <c r="G2" s="4">
        <v>13279.06</v>
      </c>
      <c r="H2" s="4">
        <v>3.68</v>
      </c>
      <c r="I2" s="4">
        <v>63135.71</v>
      </c>
      <c r="J2" s="4">
        <v>17.5</v>
      </c>
      <c r="K2" s="4">
        <v>76414.77</v>
      </c>
      <c r="L2" s="4">
        <v>21.18</v>
      </c>
      <c r="M2" s="4">
        <v>13279.06</v>
      </c>
      <c r="N2" s="4">
        <v>15295.32</v>
      </c>
      <c r="O2" s="4">
        <v>7.92</v>
      </c>
      <c r="P2" s="4">
        <v>28364.13</v>
      </c>
      <c r="Q2" s="4">
        <v>14479.74</v>
      </c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2025.0</v>
      </c>
      <c r="B3" s="4">
        <v>2.0</v>
      </c>
      <c r="C3" s="2" t="s">
        <v>6</v>
      </c>
      <c r="D3" s="2" t="s">
        <v>10</v>
      </c>
      <c r="E3" s="4">
        <v>720.7125</v>
      </c>
      <c r="F3" s="4">
        <v>263060.1</v>
      </c>
      <c r="G3" s="4">
        <v>42203.03</v>
      </c>
      <c r="H3" s="4">
        <v>16.04</v>
      </c>
      <c r="I3" s="4">
        <v>85491.0</v>
      </c>
      <c r="J3" s="4">
        <v>32.5</v>
      </c>
      <c r="K3" s="4">
        <v>127694.0</v>
      </c>
      <c r="L3" s="4">
        <v>48.54</v>
      </c>
      <c r="M3" s="4">
        <v>41062.14</v>
      </c>
      <c r="N3" s="4">
        <v>48505.55</v>
      </c>
      <c r="O3" s="4">
        <v>34.05</v>
      </c>
      <c r="P3" s="4">
        <v>36985.45</v>
      </c>
      <c r="Q3" s="4">
        <v>0.0</v>
      </c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2025.0</v>
      </c>
      <c r="B4" s="4">
        <v>2.0</v>
      </c>
      <c r="C4" s="2" t="s">
        <v>6</v>
      </c>
      <c r="D4" s="2" t="s">
        <v>15</v>
      </c>
      <c r="E4" s="4">
        <v>323.8604</v>
      </c>
      <c r="F4" s="4">
        <v>118209.0</v>
      </c>
      <c r="G4" s="4">
        <v>0.0</v>
      </c>
      <c r="H4" s="4">
        <v>0.0</v>
      </c>
      <c r="I4" s="4">
        <v>81412.74</v>
      </c>
      <c r="J4" s="4">
        <v>68.87</v>
      </c>
      <c r="K4" s="4">
        <v>81412.74</v>
      </c>
      <c r="L4" s="4">
        <v>68.87</v>
      </c>
      <c r="M4" s="4">
        <v>0.0</v>
      </c>
      <c r="N4" s="4">
        <v>56267.89</v>
      </c>
      <c r="O4" s="4">
        <v>47.6</v>
      </c>
      <c r="P4" s="4">
        <v>25144.85</v>
      </c>
      <c r="Q4" s="4">
        <v>0.0</v>
      </c>
      <c r="R4" s="3"/>
      <c r="S4" s="3"/>
      <c r="T4" s="3"/>
      <c r="U4" s="3"/>
      <c r="V4" s="3"/>
      <c r="W4" s="3"/>
      <c r="X4" s="3"/>
      <c r="Y4" s="3"/>
      <c r="Z4" s="3"/>
    </row>
    <row r="5">
      <c r="A5" s="4">
        <v>2025.0</v>
      </c>
      <c r="B5" s="4">
        <v>2.0</v>
      </c>
      <c r="C5" s="2" t="s">
        <v>6</v>
      </c>
      <c r="D5" s="2" t="s">
        <v>22</v>
      </c>
      <c r="E5" s="4">
        <v>368.2024</v>
      </c>
      <c r="F5" s="4">
        <v>134393.9</v>
      </c>
      <c r="G5" s="4">
        <v>6915.63</v>
      </c>
      <c r="H5" s="4">
        <v>5.15</v>
      </c>
      <c r="I5" s="4">
        <v>62208.33</v>
      </c>
      <c r="J5" s="4">
        <v>46.29</v>
      </c>
      <c r="K5" s="4">
        <v>69123.96</v>
      </c>
      <c r="L5" s="4">
        <v>51.43</v>
      </c>
      <c r="M5" s="4">
        <v>6900.69</v>
      </c>
      <c r="N5" s="4">
        <v>16218.33</v>
      </c>
      <c r="O5" s="4">
        <v>17.2</v>
      </c>
      <c r="P5" s="4">
        <v>45990.0</v>
      </c>
      <c r="Q5" s="4">
        <v>0.0</v>
      </c>
      <c r="R5" s="3"/>
      <c r="S5" s="3"/>
      <c r="T5" s="3"/>
      <c r="U5" s="3"/>
      <c r="V5" s="3"/>
      <c r="W5" s="3"/>
      <c r="X5" s="3"/>
      <c r="Y5" s="3"/>
      <c r="Z5" s="3"/>
    </row>
    <row r="6">
      <c r="A6" s="4">
        <v>2025.0</v>
      </c>
      <c r="B6" s="4">
        <v>2.0</v>
      </c>
      <c r="C6" s="2" t="s">
        <v>6</v>
      </c>
      <c r="D6" s="2" t="s">
        <v>26</v>
      </c>
      <c r="E6" s="4">
        <v>672.831</v>
      </c>
      <c r="F6" s="4">
        <v>245583.3</v>
      </c>
      <c r="G6" s="4">
        <v>69102.96</v>
      </c>
      <c r="H6" s="4">
        <v>28.14</v>
      </c>
      <c r="I6" s="4">
        <v>81977.63</v>
      </c>
      <c r="J6" s="4">
        <v>33.38</v>
      </c>
      <c r="K6" s="4">
        <v>151080.6</v>
      </c>
      <c r="L6" s="4">
        <v>61.52</v>
      </c>
      <c r="M6" s="4">
        <v>69102.96</v>
      </c>
      <c r="N6" s="4">
        <v>46798.93</v>
      </c>
      <c r="O6" s="4">
        <v>47.19</v>
      </c>
      <c r="P6" s="4">
        <v>29787.65</v>
      </c>
      <c r="Q6" s="4">
        <v>0.0</v>
      </c>
      <c r="R6" s="3"/>
      <c r="S6" s="3"/>
      <c r="T6" s="3"/>
      <c r="U6" s="3"/>
      <c r="V6" s="3"/>
      <c r="W6" s="3"/>
      <c r="X6" s="3"/>
      <c r="Y6" s="3"/>
      <c r="Z6" s="3"/>
    </row>
    <row r="7">
      <c r="A7" s="4">
        <v>2025.0</v>
      </c>
      <c r="B7" s="4">
        <v>2.0</v>
      </c>
      <c r="C7" s="2" t="s">
        <v>6</v>
      </c>
      <c r="D7" s="2" t="s">
        <v>29</v>
      </c>
      <c r="E7" s="4">
        <v>301.62</v>
      </c>
      <c r="F7" s="4">
        <v>110091.3</v>
      </c>
      <c r="G7" s="4">
        <v>539.6635</v>
      </c>
      <c r="H7" s="4">
        <v>0.49</v>
      </c>
      <c r="I7" s="4">
        <v>71333.24</v>
      </c>
      <c r="J7" s="4">
        <v>64.79</v>
      </c>
      <c r="K7" s="4">
        <v>71872.9</v>
      </c>
      <c r="L7" s="4">
        <v>65.28</v>
      </c>
      <c r="M7" s="4">
        <v>539.6635</v>
      </c>
      <c r="N7" s="4">
        <v>28554.51</v>
      </c>
      <c r="O7" s="4">
        <v>26.43</v>
      </c>
      <c r="P7" s="4">
        <v>42778.0</v>
      </c>
      <c r="Q7" s="4">
        <v>0.0</v>
      </c>
      <c r="R7" s="3"/>
      <c r="S7" s="3"/>
      <c r="T7" s="3"/>
      <c r="U7" s="3"/>
      <c r="V7" s="3"/>
      <c r="W7" s="3"/>
      <c r="X7" s="3"/>
      <c r="Y7" s="3"/>
      <c r="Z7" s="3"/>
    </row>
    <row r="8">
      <c r="A8" s="4">
        <v>2025.0</v>
      </c>
      <c r="B8" s="4">
        <v>2.0</v>
      </c>
      <c r="C8" s="2" t="s">
        <v>6</v>
      </c>
      <c r="D8" s="2" t="s">
        <v>31</v>
      </c>
      <c r="E8" s="4">
        <v>655.7591</v>
      </c>
      <c r="F8" s="4">
        <v>239352.1</v>
      </c>
      <c r="G8" s="4">
        <v>0.0</v>
      </c>
      <c r="H8" s="4">
        <v>0.0</v>
      </c>
      <c r="I8" s="4">
        <v>65606.82</v>
      </c>
      <c r="J8" s="4">
        <v>27.41</v>
      </c>
      <c r="K8" s="4">
        <v>65606.82</v>
      </c>
      <c r="L8" s="4">
        <v>27.41</v>
      </c>
      <c r="M8" s="4">
        <v>0.0</v>
      </c>
      <c r="N8" s="4">
        <v>65606.82</v>
      </c>
      <c r="O8" s="4">
        <v>27.41</v>
      </c>
      <c r="P8" s="4">
        <v>0.0</v>
      </c>
      <c r="Q8" s="4">
        <v>61320.0</v>
      </c>
      <c r="R8" s="3"/>
      <c r="S8" s="3"/>
      <c r="T8" s="3"/>
      <c r="U8" s="3"/>
      <c r="V8" s="3"/>
      <c r="W8" s="3"/>
      <c r="X8" s="3"/>
      <c r="Y8" s="3"/>
      <c r="Z8" s="3"/>
    </row>
    <row r="9">
      <c r="A9" s="4">
        <v>2025.0</v>
      </c>
      <c r="B9" s="4">
        <v>2.0</v>
      </c>
      <c r="C9" s="2" t="s">
        <v>6</v>
      </c>
      <c r="D9" s="2" t="s">
        <v>32</v>
      </c>
      <c r="E9" s="4">
        <v>367.444</v>
      </c>
      <c r="F9" s="4">
        <v>134117.1</v>
      </c>
      <c r="G9" s="4">
        <v>701.5069</v>
      </c>
      <c r="H9" s="4">
        <v>0.52</v>
      </c>
      <c r="I9" s="4">
        <v>19009.3</v>
      </c>
      <c r="J9" s="4">
        <v>14.17</v>
      </c>
      <c r="K9" s="4">
        <v>19710.81</v>
      </c>
      <c r="L9" s="4">
        <v>14.7</v>
      </c>
      <c r="M9" s="4">
        <v>573.8793</v>
      </c>
      <c r="N9" s="4">
        <v>19009.3</v>
      </c>
      <c r="O9" s="4">
        <v>14.6</v>
      </c>
      <c r="P9" s="4">
        <v>0.0</v>
      </c>
      <c r="Q9" s="4">
        <v>91063.85</v>
      </c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2025.0</v>
      </c>
      <c r="B10" s="4">
        <v>2.0</v>
      </c>
      <c r="C10" s="2" t="s">
        <v>6</v>
      </c>
      <c r="D10" s="2" t="s">
        <v>33</v>
      </c>
      <c r="E10" s="4">
        <v>349.5643</v>
      </c>
      <c r="F10" s="4">
        <v>127591.0</v>
      </c>
      <c r="G10" s="4">
        <v>45041.48</v>
      </c>
      <c r="H10" s="4">
        <v>35.3</v>
      </c>
      <c r="I10" s="4">
        <v>6024.793</v>
      </c>
      <c r="J10" s="4">
        <v>4.72</v>
      </c>
      <c r="K10" s="4">
        <v>51066.27</v>
      </c>
      <c r="L10" s="4">
        <v>40.02</v>
      </c>
      <c r="M10" s="4">
        <v>45040.27</v>
      </c>
      <c r="N10" s="4">
        <v>6024.793</v>
      </c>
      <c r="O10" s="4">
        <v>40.02</v>
      </c>
      <c r="P10" s="4">
        <v>0.0</v>
      </c>
      <c r="Q10" s="4">
        <v>26353.0</v>
      </c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2025.0</v>
      </c>
      <c r="B11" s="4">
        <v>2.0</v>
      </c>
      <c r="C11" s="2" t="s">
        <v>6</v>
      </c>
      <c r="D11" s="2" t="s">
        <v>34</v>
      </c>
      <c r="E11" s="4">
        <v>480.9545</v>
      </c>
      <c r="F11" s="4">
        <v>175548.4</v>
      </c>
      <c r="G11" s="4">
        <v>1231.944</v>
      </c>
      <c r="H11" s="4">
        <v>0.7</v>
      </c>
      <c r="I11" s="4">
        <v>55197.3</v>
      </c>
      <c r="J11" s="4">
        <v>31.44</v>
      </c>
      <c r="K11" s="4">
        <v>56429.25</v>
      </c>
      <c r="L11" s="4">
        <v>32.14</v>
      </c>
      <c r="M11" s="4">
        <v>0.0</v>
      </c>
      <c r="N11" s="4">
        <v>447.3018</v>
      </c>
      <c r="O11" s="4">
        <v>0.25</v>
      </c>
      <c r="P11" s="4">
        <v>54750.0</v>
      </c>
      <c r="Q11" s="4">
        <v>0.0</v>
      </c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2025.0</v>
      </c>
      <c r="B12" s="4">
        <v>2.0</v>
      </c>
      <c r="C12" s="2" t="s">
        <v>6</v>
      </c>
      <c r="D12" s="2" t="s">
        <v>35</v>
      </c>
      <c r="E12" s="4">
        <v>402.9092</v>
      </c>
      <c r="F12" s="4">
        <v>147061.8</v>
      </c>
      <c r="G12" s="4">
        <v>74.3087</v>
      </c>
      <c r="H12" s="4">
        <v>0.05</v>
      </c>
      <c r="I12" s="4">
        <v>92832.33</v>
      </c>
      <c r="J12" s="4">
        <v>63.12</v>
      </c>
      <c r="K12" s="4">
        <v>92906.64</v>
      </c>
      <c r="L12" s="4">
        <v>63.18</v>
      </c>
      <c r="M12" s="4">
        <v>73.0</v>
      </c>
      <c r="N12" s="4">
        <v>21657.33</v>
      </c>
      <c r="O12" s="4">
        <v>14.78</v>
      </c>
      <c r="P12" s="4">
        <v>71175.0</v>
      </c>
      <c r="Q12" s="4">
        <v>0.0</v>
      </c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2025.0</v>
      </c>
      <c r="B13" s="4">
        <v>2.0</v>
      </c>
      <c r="C13" s="2" t="s">
        <v>6</v>
      </c>
      <c r="D13" s="2" t="s">
        <v>36</v>
      </c>
      <c r="E13" s="4">
        <v>690.956</v>
      </c>
      <c r="F13" s="4">
        <v>252198.9</v>
      </c>
      <c r="G13" s="4">
        <v>115.872</v>
      </c>
      <c r="H13" s="4">
        <v>0.05</v>
      </c>
      <c r="I13" s="4">
        <v>39100.72</v>
      </c>
      <c r="J13" s="4">
        <v>15.5</v>
      </c>
      <c r="K13" s="4">
        <v>39216.59</v>
      </c>
      <c r="L13" s="4">
        <v>15.55</v>
      </c>
      <c r="M13" s="4">
        <v>113.15</v>
      </c>
      <c r="N13" s="4">
        <v>39100.72</v>
      </c>
      <c r="O13" s="4">
        <v>15.55</v>
      </c>
      <c r="P13" s="4">
        <v>0.0</v>
      </c>
      <c r="Q13" s="4">
        <v>68985.0</v>
      </c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2025.0</v>
      </c>
      <c r="B14" s="4">
        <v>2.0</v>
      </c>
      <c r="C14" s="2" t="s">
        <v>6</v>
      </c>
      <c r="D14" s="2" t="s">
        <v>37</v>
      </c>
      <c r="E14" s="4">
        <v>440.429</v>
      </c>
      <c r="F14" s="4">
        <v>160756.6</v>
      </c>
      <c r="G14" s="4">
        <v>1511.078</v>
      </c>
      <c r="H14" s="4">
        <v>0.94</v>
      </c>
      <c r="I14" s="4">
        <v>45902.18</v>
      </c>
      <c r="J14" s="4">
        <v>28.55</v>
      </c>
      <c r="K14" s="4">
        <v>47413.26</v>
      </c>
      <c r="L14" s="4">
        <v>29.49</v>
      </c>
      <c r="M14" s="4">
        <v>1511.078</v>
      </c>
      <c r="N14" s="4">
        <v>44934.93</v>
      </c>
      <c r="O14" s="4">
        <v>28.89</v>
      </c>
      <c r="P14" s="4">
        <v>0.0</v>
      </c>
      <c r="Q14" s="4">
        <v>54020.0</v>
      </c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2025.0</v>
      </c>
      <c r="B15" s="4">
        <v>2.0</v>
      </c>
      <c r="C15" s="2" t="s">
        <v>6</v>
      </c>
      <c r="D15" s="2" t="s">
        <v>38</v>
      </c>
      <c r="E15" s="4">
        <v>460.5077</v>
      </c>
      <c r="F15" s="4">
        <v>168085.3</v>
      </c>
      <c r="G15" s="4">
        <v>0.3072</v>
      </c>
      <c r="H15" s="4">
        <v>0.0</v>
      </c>
      <c r="I15" s="4">
        <v>92040.71</v>
      </c>
      <c r="J15" s="4">
        <v>54.76</v>
      </c>
      <c r="K15" s="4">
        <v>92041.02</v>
      </c>
      <c r="L15" s="4">
        <v>54.76</v>
      </c>
      <c r="M15" s="4">
        <v>0.0</v>
      </c>
      <c r="N15" s="4">
        <v>28129.21</v>
      </c>
      <c r="O15" s="4">
        <v>16.74</v>
      </c>
      <c r="P15" s="4">
        <v>63911.5</v>
      </c>
      <c r="Q15" s="4">
        <v>0.0</v>
      </c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2025.0</v>
      </c>
      <c r="B16" s="4">
        <v>2.0</v>
      </c>
      <c r="C16" s="2" t="s">
        <v>6</v>
      </c>
      <c r="D16" s="2" t="s">
        <v>39</v>
      </c>
      <c r="E16" s="4">
        <v>632.612</v>
      </c>
      <c r="F16" s="4">
        <v>230903.4</v>
      </c>
      <c r="G16" s="4">
        <v>3832.5</v>
      </c>
      <c r="H16" s="4">
        <v>1.66</v>
      </c>
      <c r="I16" s="4">
        <v>4605.994</v>
      </c>
      <c r="J16" s="4">
        <v>1.99</v>
      </c>
      <c r="K16" s="4">
        <v>8438.494</v>
      </c>
      <c r="L16" s="4">
        <v>3.65</v>
      </c>
      <c r="M16" s="4">
        <v>3832.5</v>
      </c>
      <c r="N16" s="4">
        <v>4605.994</v>
      </c>
      <c r="O16" s="4">
        <v>3.65</v>
      </c>
      <c r="P16" s="4">
        <v>0.0</v>
      </c>
      <c r="Q16" s="4">
        <v>43800.0</v>
      </c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2025.0</v>
      </c>
      <c r="B17" s="4">
        <v>2.0</v>
      </c>
      <c r="C17" s="2" t="s">
        <v>6</v>
      </c>
      <c r="D17" s="2" t="s">
        <v>40</v>
      </c>
      <c r="E17" s="4">
        <v>544.3645</v>
      </c>
      <c r="F17" s="4">
        <v>198693.0</v>
      </c>
      <c r="G17" s="4">
        <v>5614.675</v>
      </c>
      <c r="H17" s="4">
        <v>2.83</v>
      </c>
      <c r="I17" s="4">
        <v>23309.84</v>
      </c>
      <c r="J17" s="4">
        <v>11.73</v>
      </c>
      <c r="K17" s="4">
        <v>28924.52</v>
      </c>
      <c r="L17" s="4">
        <v>14.56</v>
      </c>
      <c r="M17" s="4">
        <v>5614.675</v>
      </c>
      <c r="N17" s="4">
        <v>23309.84</v>
      </c>
      <c r="O17" s="4">
        <v>14.56</v>
      </c>
      <c r="P17" s="4">
        <v>0.0</v>
      </c>
      <c r="Q17" s="4">
        <v>98915.0</v>
      </c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2025.0</v>
      </c>
      <c r="B18" s="4">
        <v>2.0</v>
      </c>
      <c r="C18" s="2" t="s">
        <v>6</v>
      </c>
      <c r="D18" s="2" t="s">
        <v>41</v>
      </c>
      <c r="E18" s="4">
        <v>411.44</v>
      </c>
      <c r="F18" s="4">
        <v>150175.6</v>
      </c>
      <c r="G18" s="4">
        <v>29300.0</v>
      </c>
      <c r="H18" s="4">
        <v>19.51</v>
      </c>
      <c r="I18" s="4">
        <v>21512.81</v>
      </c>
      <c r="J18" s="4">
        <v>14.33</v>
      </c>
      <c r="K18" s="4">
        <v>50812.81</v>
      </c>
      <c r="L18" s="4">
        <v>33.84</v>
      </c>
      <c r="M18" s="4">
        <v>25056.8</v>
      </c>
      <c r="N18" s="4">
        <v>21512.81</v>
      </c>
      <c r="O18" s="4">
        <v>31.01</v>
      </c>
      <c r="P18" s="4">
        <v>0.0</v>
      </c>
      <c r="Q18" s="4">
        <v>44051.85</v>
      </c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2025.0</v>
      </c>
      <c r="B19" s="4">
        <v>2.0</v>
      </c>
      <c r="C19" s="2" t="s">
        <v>6</v>
      </c>
      <c r="D19" s="2" t="s">
        <v>42</v>
      </c>
      <c r="E19" s="4">
        <v>436.662</v>
      </c>
      <c r="F19" s="4">
        <v>159381.6</v>
      </c>
      <c r="G19" s="4">
        <v>408.8168</v>
      </c>
      <c r="H19" s="4">
        <v>0.26</v>
      </c>
      <c r="I19" s="4">
        <v>14530.69</v>
      </c>
      <c r="J19" s="4">
        <v>9.12</v>
      </c>
      <c r="K19" s="4">
        <v>14939.51</v>
      </c>
      <c r="L19" s="4">
        <v>9.37</v>
      </c>
      <c r="M19" s="4">
        <v>408.8168</v>
      </c>
      <c r="N19" s="4">
        <v>14530.69</v>
      </c>
      <c r="O19" s="4">
        <v>9.37</v>
      </c>
      <c r="P19" s="4">
        <v>0.0</v>
      </c>
      <c r="Q19" s="4">
        <v>73083.95</v>
      </c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2025.0</v>
      </c>
      <c r="B20" s="4">
        <v>2.0</v>
      </c>
      <c r="C20" s="2" t="s">
        <v>6</v>
      </c>
      <c r="D20" s="2" t="s">
        <v>43</v>
      </c>
      <c r="E20" s="4">
        <v>407.6024</v>
      </c>
      <c r="F20" s="4">
        <v>148774.9</v>
      </c>
      <c r="G20" s="4">
        <v>1834.643</v>
      </c>
      <c r="H20" s="4">
        <v>1.23</v>
      </c>
      <c r="I20" s="4">
        <v>41348.46</v>
      </c>
      <c r="J20" s="4">
        <v>27.79</v>
      </c>
      <c r="K20" s="4">
        <v>43183.1</v>
      </c>
      <c r="L20" s="4">
        <v>29.03</v>
      </c>
      <c r="M20" s="4">
        <v>97.6061</v>
      </c>
      <c r="N20" s="4">
        <v>41348.46</v>
      </c>
      <c r="O20" s="4">
        <v>27.86</v>
      </c>
      <c r="P20" s="4">
        <v>0.0</v>
      </c>
      <c r="Q20" s="4">
        <v>52560.0</v>
      </c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2025.0</v>
      </c>
      <c r="B21" s="4">
        <v>2.0</v>
      </c>
      <c r="C21" s="2" t="s">
        <v>6</v>
      </c>
      <c r="D21" s="2" t="s">
        <v>44</v>
      </c>
      <c r="E21" s="4">
        <v>472.3228</v>
      </c>
      <c r="F21" s="4">
        <v>172397.8</v>
      </c>
      <c r="G21" s="4">
        <v>2503.9</v>
      </c>
      <c r="H21" s="4">
        <v>1.45</v>
      </c>
      <c r="I21" s="4">
        <v>67942.6</v>
      </c>
      <c r="J21" s="4">
        <v>39.41</v>
      </c>
      <c r="K21" s="4">
        <v>70446.5</v>
      </c>
      <c r="L21" s="4">
        <v>40.86</v>
      </c>
      <c r="M21" s="4">
        <v>2503.9</v>
      </c>
      <c r="N21" s="4">
        <v>67942.6</v>
      </c>
      <c r="O21" s="4">
        <v>40.86</v>
      </c>
      <c r="P21" s="4">
        <v>0.0</v>
      </c>
      <c r="Q21" s="4">
        <v>62415.0</v>
      </c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2025.0</v>
      </c>
      <c r="B22" s="4">
        <v>2.0</v>
      </c>
      <c r="C22" s="2" t="s">
        <v>6</v>
      </c>
      <c r="D22" s="2" t="s">
        <v>45</v>
      </c>
      <c r="E22" s="4">
        <v>702.9956</v>
      </c>
      <c r="F22" s="4">
        <v>256593.4</v>
      </c>
      <c r="G22" s="4">
        <v>0.0</v>
      </c>
      <c r="H22" s="4">
        <v>0.0</v>
      </c>
      <c r="I22" s="4">
        <v>39321.74</v>
      </c>
      <c r="J22" s="4">
        <v>15.32</v>
      </c>
      <c r="K22" s="4">
        <v>39321.74</v>
      </c>
      <c r="L22" s="4">
        <v>15.32</v>
      </c>
      <c r="M22" s="4">
        <v>0.0</v>
      </c>
      <c r="N22" s="4">
        <v>39321.74</v>
      </c>
      <c r="O22" s="4">
        <v>15.32</v>
      </c>
      <c r="P22" s="4">
        <v>0.0</v>
      </c>
      <c r="Q22" s="4">
        <v>113802.6</v>
      </c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2025.0</v>
      </c>
      <c r="B23" s="4">
        <v>2.0</v>
      </c>
      <c r="C23" s="2" t="s">
        <v>6</v>
      </c>
      <c r="D23" s="2" t="s">
        <v>46</v>
      </c>
      <c r="E23" s="4">
        <v>1032.751</v>
      </c>
      <c r="F23" s="4">
        <v>376953.9</v>
      </c>
      <c r="G23" s="4">
        <v>59.2224</v>
      </c>
      <c r="H23" s="4">
        <v>0.02</v>
      </c>
      <c r="I23" s="4">
        <v>12784.17</v>
      </c>
      <c r="J23" s="4">
        <v>3.39</v>
      </c>
      <c r="K23" s="4">
        <v>12843.39</v>
      </c>
      <c r="L23" s="4">
        <v>3.41</v>
      </c>
      <c r="M23" s="4">
        <v>35.04</v>
      </c>
      <c r="N23" s="4">
        <v>12784.17</v>
      </c>
      <c r="O23" s="4">
        <v>3.4</v>
      </c>
      <c r="P23" s="4">
        <v>0.0</v>
      </c>
      <c r="Q23" s="4">
        <v>83950.0</v>
      </c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2025.0</v>
      </c>
      <c r="B24" s="4">
        <v>2.0</v>
      </c>
      <c r="C24" s="2" t="s">
        <v>6</v>
      </c>
      <c r="D24" s="2" t="s">
        <v>47</v>
      </c>
      <c r="E24" s="4">
        <v>85.2054</v>
      </c>
      <c r="F24" s="4">
        <v>31099.96</v>
      </c>
      <c r="G24" s="4">
        <v>32.8369</v>
      </c>
      <c r="H24" s="4">
        <v>0.11</v>
      </c>
      <c r="I24" s="4">
        <v>5300.221</v>
      </c>
      <c r="J24" s="4">
        <v>17.04</v>
      </c>
      <c r="K24" s="4">
        <v>5333.058</v>
      </c>
      <c r="L24" s="4">
        <v>17.15</v>
      </c>
      <c r="M24" s="4">
        <v>32.8369</v>
      </c>
      <c r="N24" s="4">
        <v>5300.221</v>
      </c>
      <c r="O24" s="4">
        <v>17.15</v>
      </c>
      <c r="P24" s="4">
        <v>0.0</v>
      </c>
      <c r="Q24" s="4">
        <v>24394.81</v>
      </c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2025.0</v>
      </c>
      <c r="B25" s="4">
        <v>2.0</v>
      </c>
      <c r="C25" s="2" t="s">
        <v>6</v>
      </c>
      <c r="D25" s="2" t="s">
        <v>48</v>
      </c>
      <c r="E25" s="4">
        <v>421.4818</v>
      </c>
      <c r="F25" s="4">
        <v>153840.8</v>
      </c>
      <c r="G25" s="4">
        <v>16062.35</v>
      </c>
      <c r="H25" s="4">
        <v>10.44</v>
      </c>
      <c r="I25" s="4">
        <v>26217.95</v>
      </c>
      <c r="J25" s="4">
        <v>17.04</v>
      </c>
      <c r="K25" s="4">
        <v>42280.3</v>
      </c>
      <c r="L25" s="4">
        <v>27.48</v>
      </c>
      <c r="M25" s="4">
        <v>12597.57</v>
      </c>
      <c r="N25" s="4">
        <v>17786.82</v>
      </c>
      <c r="O25" s="4">
        <v>19.75</v>
      </c>
      <c r="P25" s="4">
        <v>0.0</v>
      </c>
      <c r="Q25" s="4">
        <v>121506.8</v>
      </c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2025.0</v>
      </c>
      <c r="B26" s="4">
        <v>2.0</v>
      </c>
      <c r="C26" s="2" t="s">
        <v>6</v>
      </c>
      <c r="D26" s="2" t="s">
        <v>49</v>
      </c>
      <c r="E26" s="4">
        <v>115.9768</v>
      </c>
      <c r="F26" s="4">
        <v>42331.53</v>
      </c>
      <c r="G26" s="4">
        <v>268.47</v>
      </c>
      <c r="H26" s="4">
        <v>0.63</v>
      </c>
      <c r="I26" s="4">
        <v>12776.89</v>
      </c>
      <c r="J26" s="4">
        <v>30.18</v>
      </c>
      <c r="K26" s="4">
        <v>13045.36</v>
      </c>
      <c r="L26" s="4">
        <v>30.82</v>
      </c>
      <c r="M26" s="4">
        <v>28.47</v>
      </c>
      <c r="N26" s="4">
        <v>12776.89</v>
      </c>
      <c r="O26" s="4">
        <v>30.25</v>
      </c>
      <c r="P26" s="4">
        <v>0.0</v>
      </c>
      <c r="Q26" s="4">
        <v>29820.5</v>
      </c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2025.0</v>
      </c>
      <c r="B27" s="4">
        <v>2.0</v>
      </c>
      <c r="C27" s="2" t="s">
        <v>6</v>
      </c>
      <c r="D27" s="2" t="s">
        <v>50</v>
      </c>
      <c r="E27" s="4">
        <v>1191.938</v>
      </c>
      <c r="F27" s="4">
        <v>435057.2</v>
      </c>
      <c r="G27" s="4">
        <v>130642.4</v>
      </c>
      <c r="H27" s="4">
        <v>30.03</v>
      </c>
      <c r="I27" s="4">
        <v>137338.6</v>
      </c>
      <c r="J27" s="4">
        <v>31.57</v>
      </c>
      <c r="K27" s="4">
        <v>267980.9</v>
      </c>
      <c r="L27" s="4">
        <v>61.6</v>
      </c>
      <c r="M27" s="4">
        <v>130642.4</v>
      </c>
      <c r="N27" s="4">
        <v>137338.6</v>
      </c>
      <c r="O27" s="4">
        <v>61.6</v>
      </c>
      <c r="P27" s="4">
        <v>0.0</v>
      </c>
      <c r="Q27" s="4">
        <v>299665.0</v>
      </c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2024.0</v>
      </c>
      <c r="B28" s="4">
        <v>2.0</v>
      </c>
      <c r="C28" s="2" t="s">
        <v>6</v>
      </c>
      <c r="D28" s="2" t="s">
        <v>7</v>
      </c>
      <c r="E28" s="4">
        <v>963.7579</v>
      </c>
      <c r="F28" s="4">
        <v>351771.6</v>
      </c>
      <c r="G28" s="4">
        <v>3319.213</v>
      </c>
      <c r="H28" s="4">
        <v>0.94</v>
      </c>
      <c r="I28" s="4">
        <v>66058.71</v>
      </c>
      <c r="J28" s="4">
        <v>18.78</v>
      </c>
      <c r="K28" s="4">
        <v>69377.92</v>
      </c>
      <c r="L28" s="4">
        <v>19.72</v>
      </c>
      <c r="M28" s="4">
        <v>0.0</v>
      </c>
      <c r="N28" s="4">
        <v>37471.91</v>
      </c>
      <c r="O28" s="4">
        <v>10.65</v>
      </c>
      <c r="P28" s="4">
        <v>0.0</v>
      </c>
      <c r="Q28" s="4">
        <v>30631.61</v>
      </c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2024.0</v>
      </c>
      <c r="B29" s="4">
        <v>2.0</v>
      </c>
      <c r="C29" s="2" t="s">
        <v>6</v>
      </c>
      <c r="D29" s="2" t="s">
        <v>10</v>
      </c>
      <c r="E29" s="4">
        <v>485.1229</v>
      </c>
      <c r="F29" s="4">
        <v>177069.9</v>
      </c>
      <c r="G29" s="4">
        <v>41893.35</v>
      </c>
      <c r="H29" s="4">
        <v>23.66</v>
      </c>
      <c r="I29" s="4">
        <v>79174.08</v>
      </c>
      <c r="J29" s="4">
        <v>44.71</v>
      </c>
      <c r="K29" s="4">
        <v>121067.4</v>
      </c>
      <c r="L29" s="4">
        <v>68.37</v>
      </c>
      <c r="M29" s="4">
        <v>40717.43</v>
      </c>
      <c r="N29" s="4">
        <v>54354.08</v>
      </c>
      <c r="O29" s="4">
        <v>53.69</v>
      </c>
      <c r="P29" s="4">
        <v>24820.0</v>
      </c>
      <c r="Q29" s="4">
        <v>12775.0</v>
      </c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2024.0</v>
      </c>
      <c r="B30" s="4">
        <v>2.0</v>
      </c>
      <c r="C30" s="2" t="s">
        <v>6</v>
      </c>
      <c r="D30" s="2" t="s">
        <v>15</v>
      </c>
      <c r="E30" s="4">
        <v>323.116</v>
      </c>
      <c r="F30" s="4">
        <v>117937.3</v>
      </c>
      <c r="G30" s="4">
        <v>0.0</v>
      </c>
      <c r="H30" s="4">
        <v>0.0</v>
      </c>
      <c r="I30" s="4">
        <v>55019.95</v>
      </c>
      <c r="J30" s="4">
        <v>46.65</v>
      </c>
      <c r="K30" s="4">
        <v>55019.95</v>
      </c>
      <c r="L30" s="4">
        <v>46.65</v>
      </c>
      <c r="M30" s="4">
        <v>0.0</v>
      </c>
      <c r="N30" s="4">
        <v>28385.9</v>
      </c>
      <c r="O30" s="4">
        <v>24.07</v>
      </c>
      <c r="P30" s="4">
        <v>26634.05</v>
      </c>
      <c r="Q30" s="4">
        <v>0.0</v>
      </c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2024.0</v>
      </c>
      <c r="B31" s="4">
        <v>2.0</v>
      </c>
      <c r="C31" s="2" t="s">
        <v>6</v>
      </c>
      <c r="D31" s="2" t="s">
        <v>22</v>
      </c>
      <c r="E31" s="4">
        <v>363.8656</v>
      </c>
      <c r="F31" s="4">
        <v>132810.9</v>
      </c>
      <c r="G31" s="4">
        <v>7891.3</v>
      </c>
      <c r="H31" s="4">
        <v>5.94</v>
      </c>
      <c r="I31" s="4">
        <v>59704.14</v>
      </c>
      <c r="J31" s="4">
        <v>44.95</v>
      </c>
      <c r="K31" s="4">
        <v>67595.44</v>
      </c>
      <c r="L31" s="4">
        <v>50.9</v>
      </c>
      <c r="M31" s="4">
        <v>7891.3</v>
      </c>
      <c r="N31" s="4">
        <v>12254.14</v>
      </c>
      <c r="O31" s="4">
        <v>15.17</v>
      </c>
      <c r="P31" s="4">
        <v>47450.0</v>
      </c>
      <c r="Q31" s="4">
        <v>0.0</v>
      </c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2024.0</v>
      </c>
      <c r="B32" s="4">
        <v>2.0</v>
      </c>
      <c r="C32" s="2" t="s">
        <v>6</v>
      </c>
      <c r="D32" s="2" t="s">
        <v>26</v>
      </c>
      <c r="E32" s="4">
        <v>668.7055</v>
      </c>
      <c r="F32" s="4">
        <v>244077.5</v>
      </c>
      <c r="G32" s="4">
        <v>62102.33</v>
      </c>
      <c r="H32" s="4">
        <v>25.44</v>
      </c>
      <c r="I32" s="4">
        <v>92989.97</v>
      </c>
      <c r="J32" s="4">
        <v>38.1</v>
      </c>
      <c r="K32" s="4">
        <v>155092.3</v>
      </c>
      <c r="L32" s="4">
        <v>63.54</v>
      </c>
      <c r="M32" s="4">
        <v>62101.1</v>
      </c>
      <c r="N32" s="4">
        <v>6886.47</v>
      </c>
      <c r="O32" s="4">
        <v>28.26</v>
      </c>
      <c r="P32" s="4">
        <v>35937.9</v>
      </c>
      <c r="Q32" s="4">
        <v>0.0</v>
      </c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2024.0</v>
      </c>
      <c r="B33" s="4">
        <v>2.0</v>
      </c>
      <c r="C33" s="2" t="s">
        <v>6</v>
      </c>
      <c r="D33" s="2" t="s">
        <v>29</v>
      </c>
      <c r="E33" s="4">
        <v>299.7934</v>
      </c>
      <c r="F33" s="4">
        <v>109424.6</v>
      </c>
      <c r="G33" s="4">
        <v>11424.5</v>
      </c>
      <c r="H33" s="4">
        <v>10.44</v>
      </c>
      <c r="I33" s="4">
        <v>55559.8</v>
      </c>
      <c r="J33" s="4">
        <v>50.77</v>
      </c>
      <c r="K33" s="4">
        <v>66984.3</v>
      </c>
      <c r="L33" s="4">
        <v>61.22</v>
      </c>
      <c r="M33" s="4">
        <v>11424.5</v>
      </c>
      <c r="N33" s="4">
        <v>18333.45</v>
      </c>
      <c r="O33" s="4">
        <v>27.19</v>
      </c>
      <c r="P33" s="4">
        <v>37226.35</v>
      </c>
      <c r="Q33" s="4">
        <v>0.0</v>
      </c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2024.0</v>
      </c>
      <c r="B34" s="4">
        <v>2.0</v>
      </c>
      <c r="C34" s="2" t="s">
        <v>6</v>
      </c>
      <c r="D34" s="2" t="s">
        <v>31</v>
      </c>
      <c r="E34" s="4">
        <v>653.9714</v>
      </c>
      <c r="F34" s="4">
        <v>238699.6</v>
      </c>
      <c r="G34" s="4">
        <v>0.0</v>
      </c>
      <c r="H34" s="4">
        <v>0.0</v>
      </c>
      <c r="I34" s="4">
        <v>124696.5</v>
      </c>
      <c r="J34" s="4">
        <v>52.24</v>
      </c>
      <c r="K34" s="4">
        <v>124696.5</v>
      </c>
      <c r="L34" s="4">
        <v>52.24</v>
      </c>
      <c r="M34" s="4">
        <v>0.0</v>
      </c>
      <c r="N34" s="4">
        <v>63375.0</v>
      </c>
      <c r="O34" s="4">
        <v>26.55</v>
      </c>
      <c r="P34" s="4">
        <v>61320.0</v>
      </c>
      <c r="Q34" s="4">
        <v>0.0</v>
      </c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2024.0</v>
      </c>
      <c r="B35" s="4">
        <v>2.0</v>
      </c>
      <c r="C35" s="2" t="s">
        <v>6</v>
      </c>
      <c r="D35" s="2" t="s">
        <v>32</v>
      </c>
      <c r="E35" s="4">
        <v>366.5888</v>
      </c>
      <c r="F35" s="4">
        <v>133804.9</v>
      </c>
      <c r="G35" s="4">
        <v>421.6905</v>
      </c>
      <c r="H35" s="4">
        <v>0.32</v>
      </c>
      <c r="I35" s="4">
        <v>104389.2</v>
      </c>
      <c r="J35" s="4">
        <v>78.02</v>
      </c>
      <c r="K35" s="4">
        <v>104810.9</v>
      </c>
      <c r="L35" s="4">
        <v>78.33</v>
      </c>
      <c r="M35" s="4">
        <v>312.1833</v>
      </c>
      <c r="N35" s="4">
        <v>20358.87</v>
      </c>
      <c r="O35" s="4">
        <v>15.45</v>
      </c>
      <c r="P35" s="4">
        <v>84030.3</v>
      </c>
      <c r="Q35" s="4">
        <v>0.0</v>
      </c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2024.0</v>
      </c>
      <c r="B36" s="4">
        <v>2.0</v>
      </c>
      <c r="C36" s="2" t="s">
        <v>6</v>
      </c>
      <c r="D36" s="2" t="s">
        <v>33</v>
      </c>
      <c r="E36" s="4">
        <v>348.4015</v>
      </c>
      <c r="F36" s="4">
        <v>127166.5</v>
      </c>
      <c r="G36" s="4">
        <v>44281.41</v>
      </c>
      <c r="H36" s="4">
        <v>34.82</v>
      </c>
      <c r="I36" s="4">
        <v>27309.36</v>
      </c>
      <c r="J36" s="4">
        <v>21.48</v>
      </c>
      <c r="K36" s="4">
        <v>71590.77</v>
      </c>
      <c r="L36" s="4">
        <v>56.3</v>
      </c>
      <c r="M36" s="4">
        <v>44281.07</v>
      </c>
      <c r="N36" s="4">
        <v>5142.908</v>
      </c>
      <c r="O36" s="4">
        <v>38.87</v>
      </c>
      <c r="P36" s="4">
        <v>22166.45</v>
      </c>
      <c r="Q36" s="4">
        <v>0.0</v>
      </c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2024.0</v>
      </c>
      <c r="B37" s="4">
        <v>2.0</v>
      </c>
      <c r="C37" s="2" t="s">
        <v>6</v>
      </c>
      <c r="D37" s="2" t="s">
        <v>34</v>
      </c>
      <c r="E37" s="4">
        <v>382.0464</v>
      </c>
      <c r="F37" s="4">
        <v>139446.9</v>
      </c>
      <c r="G37" s="4">
        <v>0.0</v>
      </c>
      <c r="H37" s="4">
        <v>0.0</v>
      </c>
      <c r="I37" s="4">
        <v>8.838</v>
      </c>
      <c r="J37" s="4">
        <v>0.01</v>
      </c>
      <c r="K37" s="4">
        <v>8.838</v>
      </c>
      <c r="L37" s="4">
        <v>0.01</v>
      </c>
      <c r="M37" s="4">
        <v>0.0</v>
      </c>
      <c r="N37" s="4">
        <v>8.838</v>
      </c>
      <c r="O37" s="4">
        <v>0.01</v>
      </c>
      <c r="P37" s="4">
        <v>0.0</v>
      </c>
      <c r="Q37" s="4">
        <v>51100.0</v>
      </c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2024.0</v>
      </c>
      <c r="B38" s="4">
        <v>2.0</v>
      </c>
      <c r="C38" s="2" t="s">
        <v>6</v>
      </c>
      <c r="D38" s="2" t="s">
        <v>35</v>
      </c>
      <c r="E38" s="4">
        <v>598.491</v>
      </c>
      <c r="F38" s="4">
        <v>218449.2</v>
      </c>
      <c r="G38" s="4">
        <v>141.3186</v>
      </c>
      <c r="H38" s="4">
        <v>0.06</v>
      </c>
      <c r="I38" s="4">
        <v>146979.9</v>
      </c>
      <c r="J38" s="4">
        <v>67.28</v>
      </c>
      <c r="K38" s="4">
        <v>147121.2</v>
      </c>
      <c r="L38" s="4">
        <v>67.35</v>
      </c>
      <c r="M38" s="4">
        <v>138.7</v>
      </c>
      <c r="N38" s="4">
        <v>72895.84</v>
      </c>
      <c r="O38" s="4">
        <v>33.43</v>
      </c>
      <c r="P38" s="4">
        <v>71905.0</v>
      </c>
      <c r="Q38" s="4">
        <v>0.0</v>
      </c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2024.0</v>
      </c>
      <c r="B39" s="4">
        <v>2.0</v>
      </c>
      <c r="C39" s="2" t="s">
        <v>6</v>
      </c>
      <c r="D39" s="2" t="s">
        <v>36</v>
      </c>
      <c r="E39" s="4">
        <v>679.682</v>
      </c>
      <c r="F39" s="4">
        <v>248083.9</v>
      </c>
      <c r="G39" s="4">
        <v>2.722</v>
      </c>
      <c r="H39" s="4">
        <v>0.0</v>
      </c>
      <c r="I39" s="4">
        <v>106275.5</v>
      </c>
      <c r="J39" s="4">
        <v>42.84</v>
      </c>
      <c r="K39" s="4">
        <v>106278.2</v>
      </c>
      <c r="L39" s="4">
        <v>42.84</v>
      </c>
      <c r="M39" s="4">
        <v>0.0</v>
      </c>
      <c r="N39" s="4">
        <v>37290.51</v>
      </c>
      <c r="O39" s="4">
        <v>15.03</v>
      </c>
      <c r="P39" s="4">
        <v>68985.0</v>
      </c>
      <c r="Q39" s="4">
        <v>0.0</v>
      </c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2024.0</v>
      </c>
      <c r="B40" s="4">
        <v>2.0</v>
      </c>
      <c r="C40" s="2" t="s">
        <v>6</v>
      </c>
      <c r="D40" s="2" t="s">
        <v>37</v>
      </c>
      <c r="E40" s="4">
        <v>438.9105</v>
      </c>
      <c r="F40" s="4">
        <v>160202.3</v>
      </c>
      <c r="G40" s="4">
        <v>0.0</v>
      </c>
      <c r="H40" s="4">
        <v>0.0</v>
      </c>
      <c r="I40" s="4">
        <v>31178.68</v>
      </c>
      <c r="J40" s="4">
        <v>19.46</v>
      </c>
      <c r="K40" s="4">
        <v>31178.68</v>
      </c>
      <c r="L40" s="4">
        <v>19.46</v>
      </c>
      <c r="M40" s="4">
        <v>0.0</v>
      </c>
      <c r="N40" s="4">
        <v>31178.68</v>
      </c>
      <c r="O40" s="4">
        <v>19.46</v>
      </c>
      <c r="P40" s="4">
        <v>0.0</v>
      </c>
      <c r="Q40" s="4">
        <v>72708.0</v>
      </c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2024.0</v>
      </c>
      <c r="B41" s="4">
        <v>2.0</v>
      </c>
      <c r="C41" s="2" t="s">
        <v>6</v>
      </c>
      <c r="D41" s="2" t="s">
        <v>38</v>
      </c>
      <c r="E41" s="4">
        <v>432.6466</v>
      </c>
      <c r="F41" s="4">
        <v>157916.0</v>
      </c>
      <c r="G41" s="4">
        <v>0.4106</v>
      </c>
      <c r="H41" s="4">
        <v>0.0</v>
      </c>
      <c r="I41" s="4">
        <v>79779.68</v>
      </c>
      <c r="J41" s="4">
        <v>50.52</v>
      </c>
      <c r="K41" s="4">
        <v>79780.09</v>
      </c>
      <c r="L41" s="4">
        <v>50.52</v>
      </c>
      <c r="M41" s="4">
        <v>0.0</v>
      </c>
      <c r="N41" s="4">
        <v>23142.63</v>
      </c>
      <c r="O41" s="4">
        <v>14.66</v>
      </c>
      <c r="P41" s="4">
        <v>56637.05</v>
      </c>
      <c r="Q41" s="4">
        <v>6570.0</v>
      </c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2024.0</v>
      </c>
      <c r="B42" s="4">
        <v>2.0</v>
      </c>
      <c r="C42" s="2" t="s">
        <v>6</v>
      </c>
      <c r="D42" s="2" t="s">
        <v>39</v>
      </c>
      <c r="E42" s="4">
        <v>626.485</v>
      </c>
      <c r="F42" s="4">
        <v>228667.0</v>
      </c>
      <c r="G42" s="4">
        <v>0.0</v>
      </c>
      <c r="H42" s="4">
        <v>0.0</v>
      </c>
      <c r="I42" s="4">
        <v>156.036</v>
      </c>
      <c r="J42" s="4">
        <v>0.07</v>
      </c>
      <c r="K42" s="4">
        <v>156.036</v>
      </c>
      <c r="L42" s="4">
        <v>0.07</v>
      </c>
      <c r="M42" s="4">
        <v>0.0</v>
      </c>
      <c r="N42" s="4">
        <v>156.036</v>
      </c>
      <c r="O42" s="4">
        <v>0.07</v>
      </c>
      <c r="P42" s="4">
        <v>0.0</v>
      </c>
      <c r="Q42" s="4">
        <v>177981.3</v>
      </c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2024.0</v>
      </c>
      <c r="B43" s="4">
        <v>2.0</v>
      </c>
      <c r="C43" s="2" t="s">
        <v>6</v>
      </c>
      <c r="D43" s="2" t="s">
        <v>40</v>
      </c>
      <c r="E43" s="4">
        <v>538.956</v>
      </c>
      <c r="F43" s="4">
        <v>196718.9</v>
      </c>
      <c r="G43" s="4">
        <v>172.4375</v>
      </c>
      <c r="H43" s="4">
        <v>0.09</v>
      </c>
      <c r="I43" s="4">
        <v>117208.9</v>
      </c>
      <c r="J43" s="4">
        <v>59.58</v>
      </c>
      <c r="K43" s="4">
        <v>117381.3</v>
      </c>
      <c r="L43" s="4">
        <v>59.67</v>
      </c>
      <c r="M43" s="4">
        <v>170.6375</v>
      </c>
      <c r="N43" s="4">
        <v>28148.88</v>
      </c>
      <c r="O43" s="4">
        <v>14.4</v>
      </c>
      <c r="P43" s="4">
        <v>89060.0</v>
      </c>
      <c r="Q43" s="4">
        <v>0.0</v>
      </c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2024.0</v>
      </c>
      <c r="B44" s="4">
        <v>2.0</v>
      </c>
      <c r="C44" s="2" t="s">
        <v>6</v>
      </c>
      <c r="D44" s="2" t="s">
        <v>41</v>
      </c>
      <c r="E44" s="4">
        <v>405.899</v>
      </c>
      <c r="F44" s="4">
        <v>148153.1</v>
      </c>
      <c r="G44" s="4">
        <v>24475.56</v>
      </c>
      <c r="H44" s="4">
        <v>16.52</v>
      </c>
      <c r="I44" s="4">
        <v>21830.03</v>
      </c>
      <c r="J44" s="4">
        <v>14.73</v>
      </c>
      <c r="K44" s="4">
        <v>46305.59</v>
      </c>
      <c r="L44" s="4">
        <v>31.26</v>
      </c>
      <c r="M44" s="4">
        <v>24259.68</v>
      </c>
      <c r="N44" s="4">
        <v>21830.03</v>
      </c>
      <c r="O44" s="4">
        <v>31.11</v>
      </c>
      <c r="P44" s="4">
        <v>0.0</v>
      </c>
      <c r="Q44" s="4">
        <v>44349.06</v>
      </c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2024.0</v>
      </c>
      <c r="B45" s="4">
        <v>2.0</v>
      </c>
      <c r="C45" s="2" t="s">
        <v>6</v>
      </c>
      <c r="D45" s="2" t="s">
        <v>42</v>
      </c>
      <c r="E45" s="4">
        <v>437.2184</v>
      </c>
      <c r="F45" s="4">
        <v>159584.7</v>
      </c>
      <c r="G45" s="4">
        <v>0.0</v>
      </c>
      <c r="H45" s="4">
        <v>0.0</v>
      </c>
      <c r="I45" s="4">
        <v>1178.165</v>
      </c>
      <c r="J45" s="4">
        <v>0.74</v>
      </c>
      <c r="K45" s="4">
        <v>1178.165</v>
      </c>
      <c r="L45" s="4">
        <v>0.74</v>
      </c>
      <c r="M45" s="4">
        <v>0.0</v>
      </c>
      <c r="N45" s="4">
        <v>1178.165</v>
      </c>
      <c r="O45" s="4">
        <v>0.74</v>
      </c>
      <c r="P45" s="4">
        <v>0.0</v>
      </c>
      <c r="Q45" s="4">
        <v>70010.65</v>
      </c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2024.0</v>
      </c>
      <c r="B46" s="4">
        <v>2.0</v>
      </c>
      <c r="C46" s="2" t="s">
        <v>6</v>
      </c>
      <c r="D46" s="2" t="s">
        <v>43</v>
      </c>
      <c r="E46" s="4">
        <v>402.9536</v>
      </c>
      <c r="F46" s="4">
        <v>147078.1</v>
      </c>
      <c r="G46" s="4">
        <v>1727.96</v>
      </c>
      <c r="H46" s="4">
        <v>1.17</v>
      </c>
      <c r="I46" s="4">
        <v>4696.509</v>
      </c>
      <c r="J46" s="4">
        <v>3.19</v>
      </c>
      <c r="K46" s="4">
        <v>6424.469</v>
      </c>
      <c r="L46" s="4">
        <v>4.37</v>
      </c>
      <c r="M46" s="4">
        <v>22.4475</v>
      </c>
      <c r="N46" s="4">
        <v>4696.509</v>
      </c>
      <c r="O46" s="4">
        <v>3.21</v>
      </c>
      <c r="P46" s="4">
        <v>0.0</v>
      </c>
      <c r="Q46" s="4">
        <v>49275.0</v>
      </c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2024.0</v>
      </c>
      <c r="B47" s="4">
        <v>2.0</v>
      </c>
      <c r="C47" s="2" t="s">
        <v>6</v>
      </c>
      <c r="D47" s="2" t="s">
        <v>44</v>
      </c>
      <c r="E47" s="4">
        <v>472.3228</v>
      </c>
      <c r="F47" s="4">
        <v>172397.8</v>
      </c>
      <c r="G47" s="4">
        <v>1350.5</v>
      </c>
      <c r="H47" s="4">
        <v>0.78</v>
      </c>
      <c r="I47" s="4">
        <v>67077.0</v>
      </c>
      <c r="J47" s="4">
        <v>38.91</v>
      </c>
      <c r="K47" s="4">
        <v>68427.5</v>
      </c>
      <c r="L47" s="4">
        <v>39.69</v>
      </c>
      <c r="M47" s="4">
        <v>1350.5</v>
      </c>
      <c r="N47" s="4">
        <v>67077.0</v>
      </c>
      <c r="O47" s="4">
        <v>39.69</v>
      </c>
      <c r="P47" s="4">
        <v>0.0</v>
      </c>
      <c r="Q47" s="4">
        <v>98550.0</v>
      </c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2024.0</v>
      </c>
      <c r="B48" s="4">
        <v>2.0</v>
      </c>
      <c r="C48" s="2" t="s">
        <v>6</v>
      </c>
      <c r="D48" s="2" t="s">
        <v>45</v>
      </c>
      <c r="E48" s="4">
        <v>661.944</v>
      </c>
      <c r="F48" s="4">
        <v>241609.6</v>
      </c>
      <c r="G48" s="4">
        <v>548.6238</v>
      </c>
      <c r="H48" s="4">
        <v>0.23</v>
      </c>
      <c r="I48" s="4">
        <v>41116.63</v>
      </c>
      <c r="J48" s="4">
        <v>17.02</v>
      </c>
      <c r="K48" s="4">
        <v>41665.26</v>
      </c>
      <c r="L48" s="4">
        <v>17.24</v>
      </c>
      <c r="M48" s="4">
        <v>548.6238</v>
      </c>
      <c r="N48" s="4">
        <v>41116.63</v>
      </c>
      <c r="O48" s="4">
        <v>17.24</v>
      </c>
      <c r="P48" s="4">
        <v>0.0</v>
      </c>
      <c r="Q48" s="4">
        <v>120763.9</v>
      </c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2024.0</v>
      </c>
      <c r="B49" s="4">
        <v>2.0</v>
      </c>
      <c r="C49" s="2" t="s">
        <v>6</v>
      </c>
      <c r="D49" s="2" t="s">
        <v>46</v>
      </c>
      <c r="E49" s="4">
        <v>1021.539</v>
      </c>
      <c r="F49" s="4">
        <v>372861.6</v>
      </c>
      <c r="G49" s="4">
        <v>4.896</v>
      </c>
      <c r="H49" s="4">
        <v>0.0</v>
      </c>
      <c r="I49" s="4">
        <v>6075.315</v>
      </c>
      <c r="J49" s="4">
        <v>1.63</v>
      </c>
      <c r="K49" s="4">
        <v>6080.211</v>
      </c>
      <c r="L49" s="4">
        <v>1.63</v>
      </c>
      <c r="M49" s="4">
        <v>0.0</v>
      </c>
      <c r="N49" s="4">
        <v>6075.315</v>
      </c>
      <c r="O49" s="4">
        <v>1.63</v>
      </c>
      <c r="P49" s="4">
        <v>0.0</v>
      </c>
      <c r="Q49" s="4">
        <v>70678.6</v>
      </c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2024.0</v>
      </c>
      <c r="B50" s="4">
        <v>2.0</v>
      </c>
      <c r="C50" s="2" t="s">
        <v>6</v>
      </c>
      <c r="D50" s="2" t="s">
        <v>47</v>
      </c>
      <c r="E50" s="4">
        <v>80.8633</v>
      </c>
      <c r="F50" s="4">
        <v>29515.1</v>
      </c>
      <c r="G50" s="4">
        <v>13.1674</v>
      </c>
      <c r="H50" s="4">
        <v>0.04</v>
      </c>
      <c r="I50" s="4">
        <v>27953.59</v>
      </c>
      <c r="J50" s="4">
        <v>94.71</v>
      </c>
      <c r="K50" s="4">
        <v>27966.76</v>
      </c>
      <c r="L50" s="4">
        <v>94.75</v>
      </c>
      <c r="M50" s="4">
        <v>13.1674</v>
      </c>
      <c r="N50" s="4">
        <v>4990.54</v>
      </c>
      <c r="O50" s="4">
        <v>16.95</v>
      </c>
      <c r="P50" s="4">
        <v>22963.05</v>
      </c>
      <c r="Q50" s="4">
        <v>0.0</v>
      </c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2024.0</v>
      </c>
      <c r="B51" s="4">
        <v>2.0</v>
      </c>
      <c r="C51" s="2" t="s">
        <v>6</v>
      </c>
      <c r="D51" s="2" t="s">
        <v>48</v>
      </c>
      <c r="E51" s="4">
        <v>420.1669</v>
      </c>
      <c r="F51" s="4">
        <v>153360.9</v>
      </c>
      <c r="G51" s="4">
        <v>15415.63</v>
      </c>
      <c r="H51" s="4">
        <v>10.05</v>
      </c>
      <c r="I51" s="4">
        <v>26368.06</v>
      </c>
      <c r="J51" s="4">
        <v>17.19</v>
      </c>
      <c r="K51" s="4">
        <v>41783.69</v>
      </c>
      <c r="L51" s="4">
        <v>27.25</v>
      </c>
      <c r="M51" s="4">
        <v>10463.29</v>
      </c>
      <c r="N51" s="4">
        <v>14976.41</v>
      </c>
      <c r="O51" s="4">
        <v>16.59</v>
      </c>
      <c r="P51" s="4">
        <v>0.0</v>
      </c>
      <c r="Q51" s="4">
        <v>106324.0</v>
      </c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2024.0</v>
      </c>
      <c r="B52" s="4">
        <v>2.0</v>
      </c>
      <c r="C52" s="2" t="s">
        <v>6</v>
      </c>
      <c r="D52" s="2" t="s">
        <v>49</v>
      </c>
      <c r="E52" s="4">
        <v>115.0558</v>
      </c>
      <c r="F52" s="4">
        <v>41995.35</v>
      </c>
      <c r="G52" s="4">
        <v>270.295</v>
      </c>
      <c r="H52" s="4">
        <v>0.64</v>
      </c>
      <c r="I52" s="4">
        <v>40119.52</v>
      </c>
      <c r="J52" s="4">
        <v>95.53</v>
      </c>
      <c r="K52" s="4">
        <v>40389.82</v>
      </c>
      <c r="L52" s="4">
        <v>96.18</v>
      </c>
      <c r="M52" s="4">
        <v>30.295</v>
      </c>
      <c r="N52" s="4">
        <v>11532.72</v>
      </c>
      <c r="O52" s="4">
        <v>27.53</v>
      </c>
      <c r="P52" s="4">
        <v>28586.8</v>
      </c>
      <c r="Q52" s="4">
        <v>0.0</v>
      </c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2024.0</v>
      </c>
      <c r="B53" s="4">
        <v>2.0</v>
      </c>
      <c r="C53" s="2" t="s">
        <v>6</v>
      </c>
      <c r="D53" s="2" t="s">
        <v>50</v>
      </c>
      <c r="E53" s="4">
        <v>1189.71</v>
      </c>
      <c r="F53" s="4">
        <v>434244.0</v>
      </c>
      <c r="G53" s="4">
        <v>94157.14</v>
      </c>
      <c r="H53" s="4">
        <v>21.68</v>
      </c>
      <c r="I53" s="4">
        <v>25111.55</v>
      </c>
      <c r="J53" s="4">
        <v>5.78</v>
      </c>
      <c r="K53" s="4">
        <v>119268.7</v>
      </c>
      <c r="L53" s="4">
        <v>27.47</v>
      </c>
      <c r="M53" s="4">
        <v>94133.14</v>
      </c>
      <c r="N53" s="4">
        <v>25111.55</v>
      </c>
      <c r="O53" s="4">
        <v>27.46</v>
      </c>
      <c r="P53" s="4">
        <v>0.0</v>
      </c>
      <c r="Q53" s="4">
        <v>311968.2</v>
      </c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2023.0</v>
      </c>
      <c r="B54" s="4">
        <v>2.0</v>
      </c>
      <c r="C54" s="2" t="s">
        <v>6</v>
      </c>
      <c r="D54" s="2" t="s">
        <v>7</v>
      </c>
      <c r="E54" s="4">
        <v>954.5386</v>
      </c>
      <c r="F54" s="4">
        <v>348406.6</v>
      </c>
      <c r="G54" s="4">
        <v>2028.576</v>
      </c>
      <c r="H54" s="4">
        <v>0.58</v>
      </c>
      <c r="I54" s="4">
        <v>195913.8</v>
      </c>
      <c r="J54" s="4">
        <v>56.23</v>
      </c>
      <c r="K54" s="4">
        <v>197942.4</v>
      </c>
      <c r="L54" s="4">
        <v>56.81</v>
      </c>
      <c r="M54" s="4">
        <v>0.0</v>
      </c>
      <c r="N54" s="4">
        <v>140920.1</v>
      </c>
      <c r="O54" s="4">
        <v>40.45</v>
      </c>
      <c r="P54" s="4">
        <v>25895.87</v>
      </c>
      <c r="Q54" s="4">
        <v>69720.22</v>
      </c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2023.0</v>
      </c>
      <c r="B55" s="4">
        <v>2.0</v>
      </c>
      <c r="C55" s="2" t="s">
        <v>6</v>
      </c>
      <c r="D55" s="2" t="s">
        <v>10</v>
      </c>
      <c r="E55" s="4">
        <v>483.1886</v>
      </c>
      <c r="F55" s="4">
        <v>176363.8</v>
      </c>
      <c r="G55" s="4">
        <v>33217.72</v>
      </c>
      <c r="H55" s="4">
        <v>18.83</v>
      </c>
      <c r="I55" s="4">
        <v>89509.35</v>
      </c>
      <c r="J55" s="4">
        <v>50.75</v>
      </c>
      <c r="K55" s="4">
        <v>122727.1</v>
      </c>
      <c r="L55" s="4">
        <v>69.59</v>
      </c>
      <c r="M55" s="4">
        <v>31828.0</v>
      </c>
      <c r="N55" s="4">
        <v>70383.35</v>
      </c>
      <c r="O55" s="4">
        <v>57.95</v>
      </c>
      <c r="P55" s="4">
        <v>0.0</v>
      </c>
      <c r="Q55" s="4">
        <v>41354.5</v>
      </c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2023.0</v>
      </c>
      <c r="B56" s="4">
        <v>2.0</v>
      </c>
      <c r="C56" s="2" t="s">
        <v>6</v>
      </c>
      <c r="D56" s="2" t="s">
        <v>15</v>
      </c>
      <c r="E56" s="4">
        <v>321.734</v>
      </c>
      <c r="F56" s="4">
        <v>117432.9</v>
      </c>
      <c r="G56" s="4">
        <v>0.0</v>
      </c>
      <c r="H56" s="4">
        <v>0.0</v>
      </c>
      <c r="I56" s="4">
        <v>56698.79</v>
      </c>
      <c r="J56" s="4">
        <v>48.28</v>
      </c>
      <c r="K56" s="4">
        <v>56698.79</v>
      </c>
      <c r="L56" s="4">
        <v>48.28</v>
      </c>
      <c r="M56" s="4">
        <v>0.0</v>
      </c>
      <c r="N56" s="4">
        <v>27104.59</v>
      </c>
      <c r="O56" s="4">
        <v>23.08</v>
      </c>
      <c r="P56" s="4">
        <v>27615.9</v>
      </c>
      <c r="Q56" s="4">
        <v>0.0</v>
      </c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2023.0</v>
      </c>
      <c r="B57" s="4">
        <v>2.0</v>
      </c>
      <c r="C57" s="2" t="s">
        <v>6</v>
      </c>
      <c r="D57" s="2" t="s">
        <v>22</v>
      </c>
      <c r="E57" s="4">
        <v>363.8656</v>
      </c>
      <c r="F57" s="4">
        <v>132810.9</v>
      </c>
      <c r="G57" s="4">
        <v>5792.425</v>
      </c>
      <c r="H57" s="4">
        <v>4.36</v>
      </c>
      <c r="I57" s="4">
        <v>54810.3</v>
      </c>
      <c r="J57" s="4">
        <v>41.27</v>
      </c>
      <c r="K57" s="4">
        <v>60602.73</v>
      </c>
      <c r="L57" s="4">
        <v>45.63</v>
      </c>
      <c r="M57" s="4">
        <v>5301.625</v>
      </c>
      <c r="N57" s="4">
        <v>7360.304</v>
      </c>
      <c r="O57" s="4">
        <v>9.53</v>
      </c>
      <c r="P57" s="4">
        <v>47450.0</v>
      </c>
      <c r="Q57" s="4">
        <v>0.0</v>
      </c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2023.0</v>
      </c>
      <c r="B58" s="4">
        <v>2.0</v>
      </c>
      <c r="C58" s="2" t="s">
        <v>6</v>
      </c>
      <c r="D58" s="2" t="s">
        <v>26</v>
      </c>
      <c r="E58" s="4">
        <v>662.378</v>
      </c>
      <c r="F58" s="4">
        <v>241768.0</v>
      </c>
      <c r="G58" s="4">
        <v>10.08</v>
      </c>
      <c r="H58" s="4">
        <v>0.0</v>
      </c>
      <c r="I58" s="4">
        <v>75338.67</v>
      </c>
      <c r="J58" s="4">
        <v>31.16</v>
      </c>
      <c r="K58" s="4">
        <v>75348.75</v>
      </c>
      <c r="L58" s="4">
        <v>31.17</v>
      </c>
      <c r="M58" s="4">
        <v>0.0</v>
      </c>
      <c r="N58" s="4">
        <v>41758.67</v>
      </c>
      <c r="O58" s="4">
        <v>17.27</v>
      </c>
      <c r="P58" s="4">
        <v>25550.0</v>
      </c>
      <c r="Q58" s="4">
        <v>18250.0</v>
      </c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2023.0</v>
      </c>
      <c r="B59" s="4">
        <v>2.0</v>
      </c>
      <c r="C59" s="2" t="s">
        <v>6</v>
      </c>
      <c r="D59" s="2" t="s">
        <v>29</v>
      </c>
      <c r="E59" s="4">
        <v>296.9141</v>
      </c>
      <c r="F59" s="4">
        <v>108373.7</v>
      </c>
      <c r="G59" s="4">
        <v>19535.29</v>
      </c>
      <c r="H59" s="4">
        <v>18.03</v>
      </c>
      <c r="I59" s="4">
        <v>43922.29</v>
      </c>
      <c r="J59" s="4">
        <v>40.53</v>
      </c>
      <c r="K59" s="4">
        <v>63457.58</v>
      </c>
      <c r="L59" s="4">
        <v>58.55</v>
      </c>
      <c r="M59" s="4">
        <v>19535.28</v>
      </c>
      <c r="N59" s="4">
        <v>12304.16</v>
      </c>
      <c r="O59" s="4">
        <v>29.38</v>
      </c>
      <c r="P59" s="4">
        <v>31618.13</v>
      </c>
      <c r="Q59" s="4">
        <v>0.0</v>
      </c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2023.0</v>
      </c>
      <c r="B60" s="4">
        <v>2.0</v>
      </c>
      <c r="C60" s="2" t="s">
        <v>6</v>
      </c>
      <c r="D60" s="2" t="s">
        <v>31</v>
      </c>
      <c r="E60" s="4">
        <v>649.454</v>
      </c>
      <c r="F60" s="4">
        <v>237050.7</v>
      </c>
      <c r="G60" s="4">
        <v>32418.21</v>
      </c>
      <c r="H60" s="4">
        <v>13.68</v>
      </c>
      <c r="I60" s="4">
        <v>85314.24</v>
      </c>
      <c r="J60" s="4">
        <v>35.99</v>
      </c>
      <c r="K60" s="4">
        <v>117732.5</v>
      </c>
      <c r="L60" s="4">
        <v>49.67</v>
      </c>
      <c r="M60" s="4">
        <v>14634.19</v>
      </c>
      <c r="N60" s="4">
        <v>41671.19</v>
      </c>
      <c r="O60" s="4">
        <v>23.75</v>
      </c>
      <c r="P60" s="4">
        <v>43641.59</v>
      </c>
      <c r="Q60" s="4">
        <v>0.0</v>
      </c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2023.0</v>
      </c>
      <c r="B61" s="4">
        <v>2.0</v>
      </c>
      <c r="C61" s="2" t="s">
        <v>6</v>
      </c>
      <c r="D61" s="2" t="s">
        <v>32</v>
      </c>
      <c r="E61" s="4">
        <v>364.698</v>
      </c>
      <c r="F61" s="4">
        <v>133114.8</v>
      </c>
      <c r="G61" s="4">
        <v>324.8078</v>
      </c>
      <c r="H61" s="4">
        <v>0.24</v>
      </c>
      <c r="I61" s="4">
        <v>100144.2</v>
      </c>
      <c r="J61" s="4">
        <v>75.23</v>
      </c>
      <c r="K61" s="4">
        <v>100469.0</v>
      </c>
      <c r="L61" s="4">
        <v>75.48</v>
      </c>
      <c r="M61" s="4">
        <v>258.4204</v>
      </c>
      <c r="N61" s="4">
        <v>19249.21</v>
      </c>
      <c r="O61" s="4">
        <v>14.65</v>
      </c>
      <c r="P61" s="4">
        <v>80894.95</v>
      </c>
      <c r="Q61" s="4">
        <v>0.0</v>
      </c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2023.0</v>
      </c>
      <c r="B62" s="4">
        <v>2.0</v>
      </c>
      <c r="C62" s="2" t="s">
        <v>6</v>
      </c>
      <c r="D62" s="2" t="s">
        <v>33</v>
      </c>
      <c r="E62" s="4">
        <v>350.6822</v>
      </c>
      <c r="F62" s="4">
        <v>127999.0</v>
      </c>
      <c r="G62" s="4">
        <v>46971.44</v>
      </c>
      <c r="H62" s="4">
        <v>36.7</v>
      </c>
      <c r="I62" s="4">
        <v>2813.506</v>
      </c>
      <c r="J62" s="4">
        <v>2.2</v>
      </c>
      <c r="K62" s="4">
        <v>49784.95</v>
      </c>
      <c r="L62" s="4">
        <v>38.89</v>
      </c>
      <c r="M62" s="4">
        <v>46971.12</v>
      </c>
      <c r="N62" s="4">
        <v>2813.506</v>
      </c>
      <c r="O62" s="4">
        <v>38.89</v>
      </c>
      <c r="P62" s="4">
        <v>0.0</v>
      </c>
      <c r="Q62" s="4">
        <v>19144.25</v>
      </c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2023.0</v>
      </c>
      <c r="B63" s="4">
        <v>2.0</v>
      </c>
      <c r="C63" s="2" t="s">
        <v>6</v>
      </c>
      <c r="D63" s="2" t="s">
        <v>34</v>
      </c>
      <c r="E63" s="4">
        <v>380.3132</v>
      </c>
      <c r="F63" s="4">
        <v>138814.3</v>
      </c>
      <c r="G63" s="4">
        <v>402.12</v>
      </c>
      <c r="H63" s="4">
        <v>0.29</v>
      </c>
      <c r="I63" s="4">
        <v>82.9282</v>
      </c>
      <c r="J63" s="4">
        <v>0.06</v>
      </c>
      <c r="K63" s="4">
        <v>485.0482</v>
      </c>
      <c r="L63" s="4">
        <v>0.35</v>
      </c>
      <c r="M63" s="4">
        <v>0.0</v>
      </c>
      <c r="N63" s="4">
        <v>82.9282</v>
      </c>
      <c r="O63" s="4">
        <v>0.06</v>
      </c>
      <c r="P63" s="4">
        <v>0.0</v>
      </c>
      <c r="Q63" s="4">
        <v>33945.0</v>
      </c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2023.0</v>
      </c>
      <c r="B64" s="4">
        <v>2.0</v>
      </c>
      <c r="C64" s="2" t="s">
        <v>6</v>
      </c>
      <c r="D64" s="2" t="s">
        <v>35</v>
      </c>
      <c r="E64" s="4">
        <v>595.3458</v>
      </c>
      <c r="F64" s="4">
        <v>217301.2</v>
      </c>
      <c r="G64" s="4">
        <v>133.225</v>
      </c>
      <c r="H64" s="4">
        <v>0.06</v>
      </c>
      <c r="I64" s="4">
        <v>126016.1</v>
      </c>
      <c r="J64" s="4">
        <v>57.99</v>
      </c>
      <c r="K64" s="4">
        <v>126149.3</v>
      </c>
      <c r="L64" s="4">
        <v>58.05</v>
      </c>
      <c r="M64" s="4">
        <v>133.225</v>
      </c>
      <c r="N64" s="4">
        <v>54939.63</v>
      </c>
      <c r="O64" s="4">
        <v>25.34</v>
      </c>
      <c r="P64" s="4">
        <v>69350.0</v>
      </c>
      <c r="Q64" s="4">
        <v>0.0</v>
      </c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2023.0</v>
      </c>
      <c r="B65" s="4">
        <v>2.0</v>
      </c>
      <c r="C65" s="2" t="s">
        <v>6</v>
      </c>
      <c r="D65" s="2" t="s">
        <v>36</v>
      </c>
      <c r="E65" s="4">
        <v>687.925</v>
      </c>
      <c r="F65" s="4">
        <v>251092.6</v>
      </c>
      <c r="G65" s="4">
        <v>0.0</v>
      </c>
      <c r="H65" s="4">
        <v>0.0</v>
      </c>
      <c r="I65" s="4">
        <v>104012.1</v>
      </c>
      <c r="J65" s="4">
        <v>41.42</v>
      </c>
      <c r="K65" s="4">
        <v>104012.1</v>
      </c>
      <c r="L65" s="4">
        <v>41.42</v>
      </c>
      <c r="M65" s="4">
        <v>0.0</v>
      </c>
      <c r="N65" s="4">
        <v>35684.1</v>
      </c>
      <c r="O65" s="4">
        <v>14.21</v>
      </c>
      <c r="P65" s="4">
        <v>68328.0</v>
      </c>
      <c r="Q65" s="4">
        <v>0.0</v>
      </c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2023.0</v>
      </c>
      <c r="B66" s="4">
        <v>2.0</v>
      </c>
      <c r="C66" s="2" t="s">
        <v>6</v>
      </c>
      <c r="D66" s="2" t="s">
        <v>37</v>
      </c>
      <c r="E66" s="4">
        <v>435.7845</v>
      </c>
      <c r="F66" s="4">
        <v>159061.3</v>
      </c>
      <c r="G66" s="4">
        <v>45.9492</v>
      </c>
      <c r="H66" s="4">
        <v>0.03</v>
      </c>
      <c r="I66" s="4">
        <v>98770.49</v>
      </c>
      <c r="J66" s="4">
        <v>62.1</v>
      </c>
      <c r="K66" s="4">
        <v>98816.44</v>
      </c>
      <c r="L66" s="4">
        <v>62.12</v>
      </c>
      <c r="M66" s="4">
        <v>0.0</v>
      </c>
      <c r="N66" s="4">
        <v>56605.7</v>
      </c>
      <c r="O66" s="4">
        <v>35.59</v>
      </c>
      <c r="P66" s="4">
        <v>42164.8</v>
      </c>
      <c r="Q66" s="4">
        <v>0.0</v>
      </c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2023.0</v>
      </c>
      <c r="B67" s="4">
        <v>2.0</v>
      </c>
      <c r="C67" s="2" t="s">
        <v>6</v>
      </c>
      <c r="D67" s="2" t="s">
        <v>38</v>
      </c>
      <c r="E67" s="4">
        <v>423.4836</v>
      </c>
      <c r="F67" s="4">
        <v>154571.5</v>
      </c>
      <c r="G67" s="4">
        <v>21.5323</v>
      </c>
      <c r="H67" s="4">
        <v>0.01</v>
      </c>
      <c r="I67" s="4">
        <v>76554.81</v>
      </c>
      <c r="J67" s="4">
        <v>49.53</v>
      </c>
      <c r="K67" s="4">
        <v>76576.35</v>
      </c>
      <c r="L67" s="4">
        <v>49.54</v>
      </c>
      <c r="M67" s="4">
        <v>0.0</v>
      </c>
      <c r="N67" s="4">
        <v>19775.42</v>
      </c>
      <c r="O67" s="4">
        <v>12.79</v>
      </c>
      <c r="P67" s="4">
        <v>56779.4</v>
      </c>
      <c r="Q67" s="4">
        <v>4270.5</v>
      </c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2023.0</v>
      </c>
      <c r="B68" s="4">
        <v>2.0</v>
      </c>
      <c r="C68" s="2" t="s">
        <v>6</v>
      </c>
      <c r="D68" s="2" t="s">
        <v>39</v>
      </c>
      <c r="E68" s="4">
        <v>733.9302</v>
      </c>
      <c r="F68" s="4">
        <v>267884.5</v>
      </c>
      <c r="G68" s="4">
        <v>0.0</v>
      </c>
      <c r="H68" s="4">
        <v>0.0</v>
      </c>
      <c r="I68" s="4">
        <v>273.024</v>
      </c>
      <c r="J68" s="4">
        <v>0.1</v>
      </c>
      <c r="K68" s="4">
        <v>273.024</v>
      </c>
      <c r="L68" s="4">
        <v>0.1</v>
      </c>
      <c r="M68" s="4">
        <v>0.0</v>
      </c>
      <c r="N68" s="4">
        <v>273.024</v>
      </c>
      <c r="O68" s="4">
        <v>0.1</v>
      </c>
      <c r="P68" s="4">
        <v>0.0</v>
      </c>
      <c r="Q68" s="4">
        <v>28247.71</v>
      </c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2023.0</v>
      </c>
      <c r="B69" s="4">
        <v>2.0</v>
      </c>
      <c r="C69" s="2" t="s">
        <v>6</v>
      </c>
      <c r="D69" s="2" t="s">
        <v>40</v>
      </c>
      <c r="E69" s="4">
        <v>533.156</v>
      </c>
      <c r="F69" s="4">
        <v>194601.9</v>
      </c>
      <c r="G69" s="4">
        <v>0.0</v>
      </c>
      <c r="H69" s="4">
        <v>0.0</v>
      </c>
      <c r="I69" s="4">
        <v>26761.5</v>
      </c>
      <c r="J69" s="4">
        <v>13.75</v>
      </c>
      <c r="K69" s="4">
        <v>26761.5</v>
      </c>
      <c r="L69" s="4">
        <v>13.75</v>
      </c>
      <c r="M69" s="4">
        <v>0.0</v>
      </c>
      <c r="N69" s="4">
        <v>26761.5</v>
      </c>
      <c r="O69" s="4">
        <v>13.75</v>
      </c>
      <c r="P69" s="4">
        <v>0.0</v>
      </c>
      <c r="Q69" s="4">
        <v>73365.0</v>
      </c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2023.0</v>
      </c>
      <c r="B70" s="4">
        <v>2.0</v>
      </c>
      <c r="C70" s="2" t="s">
        <v>6</v>
      </c>
      <c r="D70" s="2" t="s">
        <v>41</v>
      </c>
      <c r="E70" s="4">
        <v>403.72</v>
      </c>
      <c r="F70" s="4">
        <v>147357.8</v>
      </c>
      <c r="G70" s="4">
        <v>30444.42</v>
      </c>
      <c r="H70" s="4">
        <v>20.66</v>
      </c>
      <c r="I70" s="4">
        <v>13283.62</v>
      </c>
      <c r="J70" s="4">
        <v>9.01</v>
      </c>
      <c r="K70" s="4">
        <v>43728.03</v>
      </c>
      <c r="L70" s="4">
        <v>29.67</v>
      </c>
      <c r="M70" s="4">
        <v>23017.29</v>
      </c>
      <c r="N70" s="4">
        <v>13283.62</v>
      </c>
      <c r="O70" s="4">
        <v>24.63</v>
      </c>
      <c r="P70" s="4">
        <v>0.0</v>
      </c>
      <c r="Q70" s="4">
        <v>43975.41</v>
      </c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2023.0</v>
      </c>
      <c r="B71" s="4">
        <v>2.0</v>
      </c>
      <c r="C71" s="2" t="s">
        <v>6</v>
      </c>
      <c r="D71" s="2" t="s">
        <v>42</v>
      </c>
      <c r="E71" s="4">
        <v>421.36</v>
      </c>
      <c r="F71" s="4">
        <v>153796.4</v>
      </c>
      <c r="G71" s="4">
        <v>0.0</v>
      </c>
      <c r="H71" s="4">
        <v>0.0</v>
      </c>
      <c r="I71" s="4">
        <v>1696.171</v>
      </c>
      <c r="J71" s="4">
        <v>1.1</v>
      </c>
      <c r="K71" s="4">
        <v>1696.171</v>
      </c>
      <c r="L71" s="4">
        <v>1.1</v>
      </c>
      <c r="M71" s="4">
        <v>0.0</v>
      </c>
      <c r="N71" s="4">
        <v>1696.171</v>
      </c>
      <c r="O71" s="4">
        <v>1.1</v>
      </c>
      <c r="P71" s="4">
        <v>0.0</v>
      </c>
      <c r="Q71" s="4">
        <v>64356.8</v>
      </c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2023.0</v>
      </c>
      <c r="B72" s="4">
        <v>2.0</v>
      </c>
      <c r="C72" s="2" t="s">
        <v>6</v>
      </c>
      <c r="D72" s="2" t="s">
        <v>43</v>
      </c>
      <c r="E72" s="4">
        <v>394.582</v>
      </c>
      <c r="F72" s="4">
        <v>144022.4</v>
      </c>
      <c r="G72" s="4">
        <v>1805.694</v>
      </c>
      <c r="H72" s="4">
        <v>1.25</v>
      </c>
      <c r="I72" s="4">
        <v>5333.461</v>
      </c>
      <c r="J72" s="4">
        <v>3.7</v>
      </c>
      <c r="K72" s="4">
        <v>7139.155</v>
      </c>
      <c r="L72" s="4">
        <v>4.96</v>
      </c>
      <c r="M72" s="4">
        <v>120.45</v>
      </c>
      <c r="N72" s="4">
        <v>5333.461</v>
      </c>
      <c r="O72" s="4">
        <v>3.79</v>
      </c>
      <c r="P72" s="4">
        <v>0.0</v>
      </c>
      <c r="Q72" s="4">
        <v>47450.0</v>
      </c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2023.0</v>
      </c>
      <c r="B73" s="4">
        <v>2.0</v>
      </c>
      <c r="C73" s="2" t="s">
        <v>6</v>
      </c>
      <c r="D73" s="2" t="s">
        <v>44</v>
      </c>
      <c r="E73" s="4">
        <v>600.3016</v>
      </c>
      <c r="F73" s="4">
        <v>219110.1</v>
      </c>
      <c r="G73" s="4">
        <v>2440.39</v>
      </c>
      <c r="H73" s="4">
        <v>1.11</v>
      </c>
      <c r="I73" s="4">
        <v>183441.8</v>
      </c>
      <c r="J73" s="4">
        <v>83.72</v>
      </c>
      <c r="K73" s="4">
        <v>185882.2</v>
      </c>
      <c r="L73" s="4">
        <v>84.84</v>
      </c>
      <c r="M73" s="4">
        <v>2440.39</v>
      </c>
      <c r="N73" s="4">
        <v>54326.73</v>
      </c>
      <c r="O73" s="4">
        <v>25.91</v>
      </c>
      <c r="P73" s="4">
        <v>129115.1</v>
      </c>
      <c r="Q73" s="4">
        <v>0.0</v>
      </c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2023.0</v>
      </c>
      <c r="B74" s="4">
        <v>2.0</v>
      </c>
      <c r="C74" s="2" t="s">
        <v>6</v>
      </c>
      <c r="D74" s="2" t="s">
        <v>45</v>
      </c>
      <c r="E74" s="4">
        <v>604.0923</v>
      </c>
      <c r="F74" s="4">
        <v>220493.7</v>
      </c>
      <c r="G74" s="4">
        <v>7452.52</v>
      </c>
      <c r="H74" s="4">
        <v>3.38</v>
      </c>
      <c r="I74" s="4">
        <v>33118.88</v>
      </c>
      <c r="J74" s="4">
        <v>15.02</v>
      </c>
      <c r="K74" s="4">
        <v>40571.4</v>
      </c>
      <c r="L74" s="4">
        <v>18.4</v>
      </c>
      <c r="M74" s="4">
        <v>5364.04</v>
      </c>
      <c r="N74" s="4">
        <v>33118.88</v>
      </c>
      <c r="O74" s="4">
        <v>17.45</v>
      </c>
      <c r="P74" s="4">
        <v>0.0</v>
      </c>
      <c r="Q74" s="4">
        <v>113880.0</v>
      </c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2023.0</v>
      </c>
      <c r="B75" s="4">
        <v>2.0</v>
      </c>
      <c r="C75" s="2" t="s">
        <v>6</v>
      </c>
      <c r="D75" s="2" t="s">
        <v>46</v>
      </c>
      <c r="E75" s="4">
        <v>1005.309</v>
      </c>
      <c r="F75" s="4">
        <v>366937.6</v>
      </c>
      <c r="G75" s="4">
        <v>2.5952</v>
      </c>
      <c r="H75" s="4">
        <v>0.0</v>
      </c>
      <c r="I75" s="4">
        <v>6048.114</v>
      </c>
      <c r="J75" s="4">
        <v>1.65</v>
      </c>
      <c r="K75" s="4">
        <v>6050.709</v>
      </c>
      <c r="L75" s="4">
        <v>1.65</v>
      </c>
      <c r="M75" s="4">
        <v>0.0</v>
      </c>
      <c r="N75" s="4">
        <v>6048.114</v>
      </c>
      <c r="O75" s="4">
        <v>1.65</v>
      </c>
      <c r="P75" s="4">
        <v>0.0</v>
      </c>
      <c r="Q75" s="4">
        <v>61352.85</v>
      </c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2023.0</v>
      </c>
      <c r="B76" s="4">
        <v>2.0</v>
      </c>
      <c r="C76" s="2" t="s">
        <v>6</v>
      </c>
      <c r="D76" s="2" t="s">
        <v>47</v>
      </c>
      <c r="E76" s="4">
        <v>80.5489</v>
      </c>
      <c r="F76" s="4">
        <v>29400.33</v>
      </c>
      <c r="G76" s="4">
        <v>406.756</v>
      </c>
      <c r="H76" s="4">
        <v>1.38</v>
      </c>
      <c r="I76" s="4">
        <v>27074.07</v>
      </c>
      <c r="J76" s="4">
        <v>92.09</v>
      </c>
      <c r="K76" s="4">
        <v>27480.82</v>
      </c>
      <c r="L76" s="4">
        <v>93.47</v>
      </c>
      <c r="M76" s="4">
        <v>406.756</v>
      </c>
      <c r="N76" s="4">
        <v>3972.881</v>
      </c>
      <c r="O76" s="4">
        <v>14.9</v>
      </c>
      <c r="P76" s="4">
        <v>23101.19</v>
      </c>
      <c r="Q76" s="4">
        <v>0.0</v>
      </c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2023.0</v>
      </c>
      <c r="B77" s="4">
        <v>2.0</v>
      </c>
      <c r="C77" s="2" t="s">
        <v>6</v>
      </c>
      <c r="D77" s="2" t="s">
        <v>48</v>
      </c>
      <c r="E77" s="4">
        <v>419.1087</v>
      </c>
      <c r="F77" s="4">
        <v>152974.7</v>
      </c>
      <c r="G77" s="4">
        <v>1602.24</v>
      </c>
      <c r="H77" s="4">
        <v>1.05</v>
      </c>
      <c r="I77" s="4">
        <v>23881.22</v>
      </c>
      <c r="J77" s="4">
        <v>15.61</v>
      </c>
      <c r="K77" s="4">
        <v>25483.46</v>
      </c>
      <c r="L77" s="4">
        <v>16.66</v>
      </c>
      <c r="M77" s="4">
        <v>0.0</v>
      </c>
      <c r="N77" s="4">
        <v>23881.22</v>
      </c>
      <c r="O77" s="4">
        <v>15.61</v>
      </c>
      <c r="P77" s="4">
        <v>0.0</v>
      </c>
      <c r="Q77" s="4">
        <v>120011.3</v>
      </c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2023.0</v>
      </c>
      <c r="B78" s="4">
        <v>2.0</v>
      </c>
      <c r="C78" s="2" t="s">
        <v>6</v>
      </c>
      <c r="D78" s="2" t="s">
        <v>49</v>
      </c>
      <c r="E78" s="4">
        <v>116.428</v>
      </c>
      <c r="F78" s="4">
        <v>42496.23</v>
      </c>
      <c r="G78" s="4">
        <v>0.0</v>
      </c>
      <c r="H78" s="4">
        <v>0.0</v>
      </c>
      <c r="I78" s="4">
        <v>40754.84</v>
      </c>
      <c r="J78" s="4">
        <v>95.9</v>
      </c>
      <c r="K78" s="4">
        <v>40754.84</v>
      </c>
      <c r="L78" s="4">
        <v>95.9</v>
      </c>
      <c r="M78" s="4">
        <v>0.0</v>
      </c>
      <c r="N78" s="4">
        <v>11350.44</v>
      </c>
      <c r="O78" s="4">
        <v>26.71</v>
      </c>
      <c r="P78" s="4">
        <v>29404.4</v>
      </c>
      <c r="Q78" s="4">
        <v>0.0</v>
      </c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2023.0</v>
      </c>
      <c r="B79" s="4">
        <v>2.0</v>
      </c>
      <c r="C79" s="2" t="s">
        <v>6</v>
      </c>
      <c r="D79" s="2" t="s">
        <v>50</v>
      </c>
      <c r="E79" s="4">
        <v>1182.287</v>
      </c>
      <c r="F79" s="4">
        <v>431534.6</v>
      </c>
      <c r="G79" s="4">
        <v>84060.5</v>
      </c>
      <c r="H79" s="4">
        <v>19.48</v>
      </c>
      <c r="I79" s="4">
        <v>335035.7</v>
      </c>
      <c r="J79" s="4">
        <v>77.64</v>
      </c>
      <c r="K79" s="4">
        <v>419096.2</v>
      </c>
      <c r="L79" s="4">
        <v>97.12</v>
      </c>
      <c r="M79" s="4">
        <v>84036.15</v>
      </c>
      <c r="N79" s="4">
        <v>24613.45</v>
      </c>
      <c r="O79" s="4">
        <v>25.18</v>
      </c>
      <c r="P79" s="4">
        <v>310422.3</v>
      </c>
      <c r="Q79" s="4">
        <v>0.0</v>
      </c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12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24</v>
      </c>
      <c r="N1" s="1" t="s">
        <v>9</v>
      </c>
      <c r="O1" s="1" t="s">
        <v>12</v>
      </c>
      <c r="P1" s="1" t="s">
        <v>14</v>
      </c>
      <c r="Q1" s="1" t="s">
        <v>17</v>
      </c>
      <c r="R1" s="1" t="s">
        <v>19</v>
      </c>
      <c r="S1" s="1" t="s">
        <v>21</v>
      </c>
      <c r="T1" s="1" t="s">
        <v>24</v>
      </c>
    </row>
    <row r="2" ht="14.25" customHeight="1">
      <c r="A2" s="1">
        <v>2023.0</v>
      </c>
      <c r="B2" s="1">
        <v>2.0</v>
      </c>
      <c r="C2" s="1" t="s">
        <v>6</v>
      </c>
      <c r="D2" s="1" t="s">
        <v>7</v>
      </c>
      <c r="E2" s="1">
        <v>373.0</v>
      </c>
      <c r="F2" s="1">
        <v>155.0</v>
      </c>
      <c r="G2" s="1">
        <v>31.0</v>
      </c>
      <c r="H2" s="1">
        <v>207.0</v>
      </c>
      <c r="I2" s="1">
        <v>8.0</v>
      </c>
      <c r="J2" s="1">
        <v>114.0</v>
      </c>
      <c r="K2" s="1">
        <v>62.0</v>
      </c>
      <c r="L2" s="4">
        <v>988.679</v>
      </c>
      <c r="M2" s="1">
        <f t="shared" ref="M2:M79" si="1">SUM(E2:K2)</f>
        <v>950</v>
      </c>
      <c r="N2" s="1">
        <f t="shared" ref="N2:N79" si="2">E2/M2*L2</f>
        <v>388.1865968</v>
      </c>
      <c r="O2" s="1">
        <f t="shared" ref="O2:O79" si="3">F2/M2*L2</f>
        <v>161.3107842</v>
      </c>
      <c r="P2" s="1">
        <f t="shared" ref="P2:P79" si="4">G2/M2*L2</f>
        <v>32.26215684</v>
      </c>
      <c r="Q2" s="1">
        <f t="shared" ref="Q2:Q79" si="5">H2/M2*L2</f>
        <v>215.4279505</v>
      </c>
      <c r="R2" s="1">
        <f t="shared" ref="R2:R79" si="6">I2/M2*L2</f>
        <v>8.325717895</v>
      </c>
      <c r="S2" s="1">
        <f t="shared" ref="S2:S79" si="7">J2/M2*L2</f>
        <v>118.64148</v>
      </c>
      <c r="T2" s="1">
        <f t="shared" ref="T2:T79" si="8">K2/M2*L2</f>
        <v>64.52431368</v>
      </c>
      <c r="U2" s="1">
        <f t="shared" ref="U2:U79" si="9">sum(N2:T2)</f>
        <v>988.679</v>
      </c>
    </row>
    <row r="3" ht="14.25" customHeight="1">
      <c r="A3" s="1">
        <v>2023.0</v>
      </c>
      <c r="B3" s="1">
        <v>2.0</v>
      </c>
      <c r="C3" s="1" t="s">
        <v>6</v>
      </c>
      <c r="D3" s="1" t="s">
        <v>10</v>
      </c>
      <c r="E3" s="1">
        <v>65.0</v>
      </c>
      <c r="F3" s="1">
        <v>9.0</v>
      </c>
      <c r="G3" s="1">
        <v>4.0</v>
      </c>
      <c r="H3" s="1">
        <v>6.0</v>
      </c>
      <c r="I3" s="1">
        <v>10.0</v>
      </c>
      <c r="J3" s="1">
        <v>5.0</v>
      </c>
      <c r="K3" s="1">
        <v>4.0</v>
      </c>
      <c r="L3" s="4">
        <v>720.7125</v>
      </c>
      <c r="M3" s="1">
        <f t="shared" si="1"/>
        <v>103</v>
      </c>
      <c r="N3" s="1">
        <f t="shared" si="2"/>
        <v>454.818568</v>
      </c>
      <c r="O3" s="1">
        <f t="shared" si="3"/>
        <v>62.97487864</v>
      </c>
      <c r="P3" s="1">
        <f t="shared" si="4"/>
        <v>27.98883495</v>
      </c>
      <c r="Q3" s="1">
        <f t="shared" si="5"/>
        <v>41.98325243</v>
      </c>
      <c r="R3" s="1">
        <f t="shared" si="6"/>
        <v>69.97208738</v>
      </c>
      <c r="S3" s="1">
        <f t="shared" si="7"/>
        <v>34.98604369</v>
      </c>
      <c r="T3" s="1">
        <f t="shared" si="8"/>
        <v>27.98883495</v>
      </c>
      <c r="U3" s="1">
        <f t="shared" si="9"/>
        <v>720.7125</v>
      </c>
    </row>
    <row r="4" ht="14.25" customHeight="1">
      <c r="A4" s="1">
        <v>2023.0</v>
      </c>
      <c r="B4" s="1">
        <v>2.0</v>
      </c>
      <c r="C4" s="1" t="s">
        <v>6</v>
      </c>
      <c r="D4" s="1" t="s">
        <v>15</v>
      </c>
      <c r="E4" s="1">
        <v>22.2</v>
      </c>
      <c r="F4" s="1">
        <v>0.01</v>
      </c>
      <c r="G4" s="1">
        <v>1.78</v>
      </c>
      <c r="H4" s="1">
        <v>27.6</v>
      </c>
      <c r="I4" s="1">
        <v>0.8</v>
      </c>
      <c r="J4" s="1">
        <v>11.4</v>
      </c>
      <c r="K4" s="1">
        <v>3.6</v>
      </c>
      <c r="L4" s="4">
        <v>323.8604</v>
      </c>
      <c r="M4" s="1">
        <f t="shared" si="1"/>
        <v>67.39</v>
      </c>
      <c r="N4" s="1">
        <f t="shared" si="2"/>
        <v>106.687949</v>
      </c>
      <c r="O4" s="1">
        <f t="shared" si="3"/>
        <v>0.04805763466</v>
      </c>
      <c r="P4" s="1">
        <f t="shared" si="4"/>
        <v>8.55425897</v>
      </c>
      <c r="Q4" s="1">
        <f t="shared" si="5"/>
        <v>132.6390717</v>
      </c>
      <c r="R4" s="1">
        <f t="shared" si="6"/>
        <v>3.844610773</v>
      </c>
      <c r="S4" s="1">
        <f t="shared" si="7"/>
        <v>54.78570352</v>
      </c>
      <c r="T4" s="1">
        <f t="shared" si="8"/>
        <v>17.30074848</v>
      </c>
      <c r="U4" s="1">
        <f t="shared" si="9"/>
        <v>323.8604</v>
      </c>
    </row>
    <row r="5" ht="14.25" customHeight="1">
      <c r="A5" s="1">
        <v>2023.0</v>
      </c>
      <c r="B5" s="1">
        <v>2.0</v>
      </c>
      <c r="C5" s="1" t="s">
        <v>6</v>
      </c>
      <c r="D5" s="1" t="s">
        <v>22</v>
      </c>
      <c r="E5" s="1">
        <v>371.97</v>
      </c>
      <c r="F5" s="1">
        <v>3.05</v>
      </c>
      <c r="G5" s="1">
        <v>10.0</v>
      </c>
      <c r="H5" s="1">
        <v>24.18</v>
      </c>
      <c r="I5" s="1">
        <v>6.0</v>
      </c>
      <c r="J5" s="1">
        <v>30.0</v>
      </c>
      <c r="K5" s="1">
        <v>5.0</v>
      </c>
      <c r="L5" s="4">
        <v>368.2024</v>
      </c>
      <c r="M5" s="1">
        <f t="shared" si="1"/>
        <v>450.2</v>
      </c>
      <c r="N5" s="1">
        <f t="shared" si="2"/>
        <v>304.2208946</v>
      </c>
      <c r="O5" s="1">
        <f t="shared" si="3"/>
        <v>2.494485384</v>
      </c>
      <c r="P5" s="1">
        <f t="shared" si="4"/>
        <v>8.178640604</v>
      </c>
      <c r="Q5" s="1">
        <f t="shared" si="5"/>
        <v>19.77595298</v>
      </c>
      <c r="R5" s="1">
        <f t="shared" si="6"/>
        <v>4.907184363</v>
      </c>
      <c r="S5" s="1">
        <f t="shared" si="7"/>
        <v>24.53592181</v>
      </c>
      <c r="T5" s="1">
        <f t="shared" si="8"/>
        <v>4.089320302</v>
      </c>
      <c r="U5" s="1">
        <f t="shared" si="9"/>
        <v>368.2024</v>
      </c>
    </row>
    <row r="6" ht="14.25" customHeight="1">
      <c r="A6" s="1">
        <v>2023.0</v>
      </c>
      <c r="B6" s="1">
        <v>2.0</v>
      </c>
      <c r="C6" s="1" t="s">
        <v>6</v>
      </c>
      <c r="D6" s="1" t="s">
        <v>26</v>
      </c>
      <c r="E6" s="1">
        <v>78.83</v>
      </c>
      <c r="F6" s="1">
        <v>2.01</v>
      </c>
      <c r="G6" s="1">
        <v>5.79</v>
      </c>
      <c r="H6" s="1">
        <v>7.69</v>
      </c>
      <c r="I6" s="1">
        <v>1.97</v>
      </c>
      <c r="J6" s="1">
        <v>0.96</v>
      </c>
      <c r="K6" s="1">
        <v>2.75</v>
      </c>
      <c r="L6" s="4">
        <v>672.831</v>
      </c>
      <c r="M6" s="1">
        <f t="shared" si="1"/>
        <v>100</v>
      </c>
      <c r="N6" s="1">
        <f t="shared" si="2"/>
        <v>530.3926773</v>
      </c>
      <c r="O6" s="1">
        <f t="shared" si="3"/>
        <v>13.5239031</v>
      </c>
      <c r="P6" s="1">
        <f t="shared" si="4"/>
        <v>38.9569149</v>
      </c>
      <c r="Q6" s="1">
        <f t="shared" si="5"/>
        <v>51.7407039</v>
      </c>
      <c r="R6" s="1">
        <f t="shared" si="6"/>
        <v>13.2547707</v>
      </c>
      <c r="S6" s="1">
        <f t="shared" si="7"/>
        <v>6.4591776</v>
      </c>
      <c r="T6" s="1">
        <f t="shared" si="8"/>
        <v>18.5028525</v>
      </c>
      <c r="U6" s="1">
        <f t="shared" si="9"/>
        <v>672.831</v>
      </c>
    </row>
    <row r="7" ht="14.25" customHeight="1">
      <c r="A7" s="1">
        <v>2023.0</v>
      </c>
      <c r="B7" s="1">
        <v>2.0</v>
      </c>
      <c r="C7" s="1" t="s">
        <v>6</v>
      </c>
      <c r="D7" s="1" t="s">
        <v>29</v>
      </c>
      <c r="E7" s="1">
        <v>106.89</v>
      </c>
      <c r="F7" s="1">
        <v>26.72</v>
      </c>
      <c r="G7" s="1">
        <v>41.57</v>
      </c>
      <c r="H7" s="1">
        <v>71.26</v>
      </c>
      <c r="I7" s="1">
        <v>35.63</v>
      </c>
      <c r="J7" s="1">
        <v>5.94</v>
      </c>
      <c r="K7" s="1">
        <v>8.91</v>
      </c>
      <c r="L7" s="4">
        <v>301.62</v>
      </c>
      <c r="M7" s="1">
        <f t="shared" si="1"/>
        <v>296.92</v>
      </c>
      <c r="N7" s="1">
        <f t="shared" si="2"/>
        <v>108.581981</v>
      </c>
      <c r="O7" s="1">
        <f t="shared" si="3"/>
        <v>27.14295568</v>
      </c>
      <c r="P7" s="1">
        <f t="shared" si="4"/>
        <v>42.228019</v>
      </c>
      <c r="Q7" s="1">
        <f t="shared" si="5"/>
        <v>72.38798734</v>
      </c>
      <c r="R7" s="1">
        <f t="shared" si="6"/>
        <v>36.19399367</v>
      </c>
      <c r="S7" s="1">
        <f t="shared" si="7"/>
        <v>6.034025327</v>
      </c>
      <c r="T7" s="1">
        <f t="shared" si="8"/>
        <v>9.05103799</v>
      </c>
      <c r="U7" s="1">
        <f t="shared" si="9"/>
        <v>301.62</v>
      </c>
    </row>
    <row r="8" ht="14.25" customHeight="1">
      <c r="A8" s="1">
        <v>2023.0</v>
      </c>
      <c r="B8" s="1">
        <v>2.0</v>
      </c>
      <c r="C8" s="1" t="s">
        <v>6</v>
      </c>
      <c r="D8" s="1" t="s">
        <v>31</v>
      </c>
      <c r="E8" s="1">
        <v>352.5</v>
      </c>
      <c r="F8" s="1">
        <v>11.0</v>
      </c>
      <c r="G8" s="1">
        <v>2.2</v>
      </c>
      <c r="H8" s="1">
        <v>3.4</v>
      </c>
      <c r="I8" s="1">
        <v>10.0</v>
      </c>
      <c r="J8" s="1">
        <v>6.02</v>
      </c>
      <c r="K8" s="1">
        <v>6.4</v>
      </c>
      <c r="L8" s="4">
        <v>655.7591</v>
      </c>
      <c r="M8" s="1">
        <f t="shared" si="1"/>
        <v>391.52</v>
      </c>
      <c r="N8" s="1">
        <f t="shared" si="2"/>
        <v>590.4042776</v>
      </c>
      <c r="O8" s="1">
        <f t="shared" si="3"/>
        <v>18.42396327</v>
      </c>
      <c r="P8" s="1">
        <f t="shared" si="4"/>
        <v>3.684792654</v>
      </c>
      <c r="Q8" s="1">
        <f t="shared" si="5"/>
        <v>5.694679557</v>
      </c>
      <c r="R8" s="1">
        <f t="shared" si="6"/>
        <v>16.74905752</v>
      </c>
      <c r="S8" s="1">
        <f t="shared" si="7"/>
        <v>10.08293263</v>
      </c>
      <c r="T8" s="1">
        <f t="shared" si="8"/>
        <v>10.71939681</v>
      </c>
      <c r="U8" s="1">
        <f t="shared" si="9"/>
        <v>655.7591</v>
      </c>
    </row>
    <row r="9" ht="14.25" customHeight="1">
      <c r="A9" s="1">
        <v>2023.0</v>
      </c>
      <c r="B9" s="1">
        <v>2.0</v>
      </c>
      <c r="C9" s="1" t="s">
        <v>6</v>
      </c>
      <c r="D9" s="1" t="s">
        <v>32</v>
      </c>
      <c r="E9" s="1">
        <v>237.13</v>
      </c>
      <c r="F9" s="1">
        <v>38.11</v>
      </c>
      <c r="G9" s="1">
        <v>14.91</v>
      </c>
      <c r="H9" s="1">
        <v>13.87</v>
      </c>
      <c r="I9" s="1">
        <v>31.22</v>
      </c>
      <c r="J9" s="1">
        <v>12.49</v>
      </c>
      <c r="K9" s="1">
        <v>17.0</v>
      </c>
      <c r="L9" s="4">
        <v>367.444</v>
      </c>
      <c r="M9" s="1">
        <f t="shared" si="1"/>
        <v>364.73</v>
      </c>
      <c r="N9" s="1">
        <f t="shared" si="2"/>
        <v>238.894513</v>
      </c>
      <c r="O9" s="1">
        <f t="shared" si="3"/>
        <v>38.39358111</v>
      </c>
      <c r="P9" s="1">
        <f t="shared" si="4"/>
        <v>15.02094711</v>
      </c>
      <c r="Q9" s="1">
        <f t="shared" si="5"/>
        <v>13.97320835</v>
      </c>
      <c r="R9" s="1">
        <f t="shared" si="6"/>
        <v>31.45231179</v>
      </c>
      <c r="S9" s="1">
        <f t="shared" si="7"/>
        <v>12.5829396</v>
      </c>
      <c r="T9" s="1">
        <f t="shared" si="8"/>
        <v>17.12649905</v>
      </c>
      <c r="U9" s="1">
        <f t="shared" si="9"/>
        <v>367.444</v>
      </c>
    </row>
    <row r="10" ht="14.25" customHeight="1">
      <c r="A10" s="1">
        <v>2023.0</v>
      </c>
      <c r="B10" s="1">
        <v>2.0</v>
      </c>
      <c r="C10" s="1" t="s">
        <v>6</v>
      </c>
      <c r="D10" s="1" t="s">
        <v>33</v>
      </c>
      <c r="E10" s="1">
        <v>156.78</v>
      </c>
      <c r="F10" s="1">
        <v>52.26</v>
      </c>
      <c r="G10" s="1">
        <v>13.94</v>
      </c>
      <c r="H10" s="1">
        <v>87.1</v>
      </c>
      <c r="I10" s="1">
        <v>20.9</v>
      </c>
      <c r="J10" s="1">
        <v>6.97</v>
      </c>
      <c r="K10" s="1">
        <v>10.45</v>
      </c>
      <c r="L10" s="4">
        <v>349.5643</v>
      </c>
      <c r="M10" s="1">
        <f t="shared" si="1"/>
        <v>348.4</v>
      </c>
      <c r="N10" s="1">
        <f t="shared" si="2"/>
        <v>157.303935</v>
      </c>
      <c r="O10" s="1">
        <f t="shared" si="3"/>
        <v>52.434645</v>
      </c>
      <c r="P10" s="1">
        <f t="shared" si="4"/>
        <v>13.98658537</v>
      </c>
      <c r="Q10" s="1">
        <f t="shared" si="5"/>
        <v>87.391075</v>
      </c>
      <c r="R10" s="1">
        <f t="shared" si="6"/>
        <v>20.96984463</v>
      </c>
      <c r="S10" s="1">
        <f t="shared" si="7"/>
        <v>6.993292684</v>
      </c>
      <c r="T10" s="1">
        <f t="shared" si="8"/>
        <v>10.48492232</v>
      </c>
      <c r="U10" s="1">
        <f t="shared" si="9"/>
        <v>349.5643</v>
      </c>
    </row>
    <row r="11" ht="14.25" customHeight="1">
      <c r="A11" s="1">
        <v>2023.0</v>
      </c>
      <c r="B11" s="1">
        <v>2.0</v>
      </c>
      <c r="C11" s="1" t="s">
        <v>6</v>
      </c>
      <c r="D11" s="1" t="s">
        <v>34</v>
      </c>
      <c r="E11" s="1">
        <v>6.0</v>
      </c>
      <c r="F11" s="1">
        <v>11.0</v>
      </c>
      <c r="G11" s="1">
        <v>12.27</v>
      </c>
      <c r="H11" s="1">
        <v>24.18</v>
      </c>
      <c r="I11" s="1">
        <v>10.0</v>
      </c>
      <c r="J11" s="1">
        <v>6.495</v>
      </c>
      <c r="K11" s="1">
        <v>11.225</v>
      </c>
      <c r="L11" s="4">
        <v>480.9545</v>
      </c>
      <c r="M11" s="1">
        <f t="shared" si="1"/>
        <v>81.17</v>
      </c>
      <c r="N11" s="1">
        <f t="shared" si="2"/>
        <v>35.5516447</v>
      </c>
      <c r="O11" s="1">
        <f t="shared" si="3"/>
        <v>65.17801528</v>
      </c>
      <c r="P11" s="1">
        <f t="shared" si="4"/>
        <v>72.7031134</v>
      </c>
      <c r="Q11" s="1">
        <f t="shared" si="5"/>
        <v>143.2731281</v>
      </c>
      <c r="R11" s="1">
        <f t="shared" si="6"/>
        <v>59.25274116</v>
      </c>
      <c r="S11" s="1">
        <f t="shared" si="7"/>
        <v>38.48465538</v>
      </c>
      <c r="T11" s="1">
        <f t="shared" si="8"/>
        <v>66.51120195</v>
      </c>
      <c r="U11" s="1">
        <f t="shared" si="9"/>
        <v>480.9545</v>
      </c>
    </row>
    <row r="12" ht="14.25" customHeight="1">
      <c r="A12" s="1">
        <v>2023.0</v>
      </c>
      <c r="B12" s="1">
        <v>2.0</v>
      </c>
      <c r="C12" s="1" t="s">
        <v>6</v>
      </c>
      <c r="D12" s="1" t="s">
        <v>35</v>
      </c>
      <c r="E12" s="1">
        <v>187.36</v>
      </c>
      <c r="F12" s="1">
        <v>40.01</v>
      </c>
      <c r="G12" s="1">
        <v>49.89</v>
      </c>
      <c r="H12" s="1">
        <v>148.0</v>
      </c>
      <c r="I12" s="1">
        <v>102.4</v>
      </c>
      <c r="J12" s="1">
        <v>3.75</v>
      </c>
      <c r="K12" s="1">
        <v>63.94</v>
      </c>
      <c r="L12" s="4">
        <v>402.9092</v>
      </c>
      <c r="M12" s="1">
        <f t="shared" si="1"/>
        <v>595.35</v>
      </c>
      <c r="N12" s="1">
        <f t="shared" si="2"/>
        <v>126.7977958</v>
      </c>
      <c r="O12" s="1">
        <f t="shared" si="3"/>
        <v>27.07717661</v>
      </c>
      <c r="P12" s="1">
        <f t="shared" si="4"/>
        <v>33.76356763</v>
      </c>
      <c r="Q12" s="1">
        <f t="shared" si="5"/>
        <v>100.1605133</v>
      </c>
      <c r="R12" s="1">
        <f t="shared" si="6"/>
        <v>69.30024705</v>
      </c>
      <c r="S12" s="1">
        <f t="shared" si="7"/>
        <v>2.537850844</v>
      </c>
      <c r="T12" s="1">
        <f t="shared" si="8"/>
        <v>43.27204879</v>
      </c>
      <c r="U12" s="1">
        <f t="shared" si="9"/>
        <v>402.9092</v>
      </c>
    </row>
    <row r="13" ht="14.25" customHeight="1">
      <c r="A13" s="1">
        <v>2023.0</v>
      </c>
      <c r="B13" s="1">
        <v>2.0</v>
      </c>
      <c r="C13" s="1" t="s">
        <v>6</v>
      </c>
      <c r="D13" s="1" t="s">
        <v>36</v>
      </c>
      <c r="E13" s="1">
        <v>512.3</v>
      </c>
      <c r="F13" s="1">
        <v>20.6</v>
      </c>
      <c r="G13" s="1">
        <v>25.0</v>
      </c>
      <c r="H13" s="1">
        <v>27.5</v>
      </c>
      <c r="I13" s="1">
        <v>18.5</v>
      </c>
      <c r="J13" s="1">
        <v>18.0</v>
      </c>
      <c r="K13" s="1">
        <v>58.6</v>
      </c>
      <c r="L13" s="4">
        <v>690.956</v>
      </c>
      <c r="M13" s="1">
        <f t="shared" si="1"/>
        <v>680.5</v>
      </c>
      <c r="N13" s="1">
        <f t="shared" si="2"/>
        <v>520.171578</v>
      </c>
      <c r="O13" s="1">
        <f t="shared" si="3"/>
        <v>20.91652256</v>
      </c>
      <c r="P13" s="1">
        <f t="shared" si="4"/>
        <v>25.38412932</v>
      </c>
      <c r="Q13" s="1">
        <f t="shared" si="5"/>
        <v>27.92254225</v>
      </c>
      <c r="R13" s="1">
        <f t="shared" si="6"/>
        <v>18.78425569</v>
      </c>
      <c r="S13" s="1">
        <f t="shared" si="7"/>
        <v>18.27657311</v>
      </c>
      <c r="T13" s="1">
        <f t="shared" si="8"/>
        <v>59.50039912</v>
      </c>
      <c r="U13" s="1">
        <f t="shared" si="9"/>
        <v>690.956</v>
      </c>
    </row>
    <row r="14" ht="14.25" customHeight="1">
      <c r="A14" s="1">
        <v>2023.0</v>
      </c>
      <c r="B14" s="1">
        <v>2.0</v>
      </c>
      <c r="C14" s="1" t="s">
        <v>6</v>
      </c>
      <c r="D14" s="1" t="s">
        <v>37</v>
      </c>
      <c r="E14" s="1">
        <v>237.52</v>
      </c>
      <c r="F14" s="1">
        <v>14.94</v>
      </c>
      <c r="G14" s="1">
        <v>26.14</v>
      </c>
      <c r="H14" s="1">
        <v>90.56</v>
      </c>
      <c r="I14" s="1">
        <v>30.85</v>
      </c>
      <c r="J14" s="1">
        <v>20.94</v>
      </c>
      <c r="K14" s="1">
        <v>14.82</v>
      </c>
      <c r="L14" s="4">
        <v>440.429</v>
      </c>
      <c r="M14" s="1">
        <f t="shared" si="1"/>
        <v>435.77</v>
      </c>
      <c r="N14" s="1">
        <f t="shared" si="2"/>
        <v>240.059426</v>
      </c>
      <c r="O14" s="1">
        <f t="shared" si="3"/>
        <v>15.09972981</v>
      </c>
      <c r="P14" s="1">
        <f t="shared" si="4"/>
        <v>26.41947371</v>
      </c>
      <c r="Q14" s="1">
        <f t="shared" si="5"/>
        <v>91.52821498</v>
      </c>
      <c r="R14" s="1">
        <f t="shared" si="6"/>
        <v>31.1798303</v>
      </c>
      <c r="S14" s="1">
        <f t="shared" si="7"/>
        <v>21.16387833</v>
      </c>
      <c r="T14" s="1">
        <f t="shared" si="8"/>
        <v>14.97844684</v>
      </c>
      <c r="U14" s="1">
        <f t="shared" si="9"/>
        <v>440.429</v>
      </c>
    </row>
    <row r="15" ht="14.25" customHeight="1">
      <c r="A15" s="1">
        <v>2023.0</v>
      </c>
      <c r="B15" s="1">
        <v>2.0</v>
      </c>
      <c r="C15" s="1" t="s">
        <v>6</v>
      </c>
      <c r="D15" s="1" t="s">
        <v>38</v>
      </c>
      <c r="E15" s="1">
        <v>1787.84</v>
      </c>
      <c r="F15" s="1">
        <v>1.11</v>
      </c>
      <c r="G15" s="1">
        <v>48.07</v>
      </c>
      <c r="H15" s="1">
        <v>7.88</v>
      </c>
      <c r="I15" s="1">
        <v>5.79</v>
      </c>
      <c r="J15" s="1">
        <v>1.55</v>
      </c>
      <c r="K15" s="1">
        <v>26.25</v>
      </c>
      <c r="L15" s="4">
        <v>460.5077</v>
      </c>
      <c r="M15" s="1">
        <f t="shared" si="1"/>
        <v>1878.49</v>
      </c>
      <c r="N15" s="1">
        <f t="shared" si="2"/>
        <v>438.2850515</v>
      </c>
      <c r="O15" s="1">
        <f t="shared" si="3"/>
        <v>0.2721140634</v>
      </c>
      <c r="P15" s="1">
        <f t="shared" si="4"/>
        <v>11.78425498</v>
      </c>
      <c r="Q15" s="1">
        <f t="shared" si="5"/>
        <v>1.931764703</v>
      </c>
      <c r="R15" s="1">
        <f t="shared" si="6"/>
        <v>1.41940579</v>
      </c>
      <c r="S15" s="1">
        <f t="shared" si="7"/>
        <v>0.3799790976</v>
      </c>
      <c r="T15" s="1">
        <f t="shared" si="8"/>
        <v>6.435129878</v>
      </c>
      <c r="U15" s="1">
        <f t="shared" si="9"/>
        <v>460.5077</v>
      </c>
    </row>
    <row r="16" ht="14.25" customHeight="1">
      <c r="A16" s="1">
        <v>2023.0</v>
      </c>
      <c r="B16" s="1">
        <v>2.0</v>
      </c>
      <c r="C16" s="1" t="s">
        <v>6</v>
      </c>
      <c r="D16" s="1" t="s">
        <v>39</v>
      </c>
      <c r="E16" s="1">
        <v>11.33</v>
      </c>
      <c r="F16" s="1">
        <v>1.7</v>
      </c>
      <c r="G16" s="1">
        <v>4.89</v>
      </c>
      <c r="H16" s="1">
        <v>5.54</v>
      </c>
      <c r="I16" s="1">
        <v>1.67</v>
      </c>
      <c r="J16" s="1">
        <v>0.82</v>
      </c>
      <c r="K16" s="1">
        <v>1.67</v>
      </c>
      <c r="L16" s="4">
        <v>632.612</v>
      </c>
      <c r="M16" s="1">
        <f t="shared" si="1"/>
        <v>27.62</v>
      </c>
      <c r="N16" s="1">
        <f t="shared" si="2"/>
        <v>259.5037639</v>
      </c>
      <c r="O16" s="1">
        <f t="shared" si="3"/>
        <v>38.93701665</v>
      </c>
      <c r="P16" s="1">
        <f t="shared" si="4"/>
        <v>112.0011832</v>
      </c>
      <c r="Q16" s="1">
        <f t="shared" si="5"/>
        <v>126.888866</v>
      </c>
      <c r="R16" s="1">
        <f t="shared" si="6"/>
        <v>38.24989283</v>
      </c>
      <c r="S16" s="1">
        <f t="shared" si="7"/>
        <v>18.7813845</v>
      </c>
      <c r="T16" s="1">
        <f t="shared" si="8"/>
        <v>38.24989283</v>
      </c>
      <c r="U16" s="1">
        <f t="shared" si="9"/>
        <v>632.612</v>
      </c>
    </row>
    <row r="17" ht="14.25" customHeight="1">
      <c r="A17" s="1">
        <v>2023.0</v>
      </c>
      <c r="B17" s="1">
        <v>2.0</v>
      </c>
      <c r="C17" s="1" t="s">
        <v>6</v>
      </c>
      <c r="D17" s="1" t="s">
        <v>40</v>
      </c>
      <c r="E17" s="1">
        <v>371.0</v>
      </c>
      <c r="F17" s="1">
        <v>10.0</v>
      </c>
      <c r="G17" s="1">
        <v>10.0</v>
      </c>
      <c r="H17" s="1">
        <v>85.0</v>
      </c>
      <c r="I17" s="1">
        <v>10.0</v>
      </c>
      <c r="J17" s="1">
        <v>20.0</v>
      </c>
      <c r="K17" s="1">
        <v>24.0</v>
      </c>
      <c r="L17" s="4">
        <v>544.3645</v>
      </c>
      <c r="M17" s="1">
        <f t="shared" si="1"/>
        <v>530</v>
      </c>
      <c r="N17" s="1">
        <f t="shared" si="2"/>
        <v>381.05515</v>
      </c>
      <c r="O17" s="1">
        <f t="shared" si="3"/>
        <v>10.2710283</v>
      </c>
      <c r="P17" s="1">
        <f t="shared" si="4"/>
        <v>10.2710283</v>
      </c>
      <c r="Q17" s="1">
        <f t="shared" si="5"/>
        <v>87.30374057</v>
      </c>
      <c r="R17" s="1">
        <f t="shared" si="6"/>
        <v>10.2710283</v>
      </c>
      <c r="S17" s="1">
        <f t="shared" si="7"/>
        <v>20.5420566</v>
      </c>
      <c r="T17" s="1">
        <f t="shared" si="8"/>
        <v>24.65046792</v>
      </c>
      <c r="U17" s="1">
        <f t="shared" si="9"/>
        <v>544.3645</v>
      </c>
    </row>
    <row r="18" ht="14.25" customHeight="1">
      <c r="A18" s="1">
        <v>2023.0</v>
      </c>
      <c r="B18" s="1">
        <v>2.0</v>
      </c>
      <c r="C18" s="1" t="s">
        <v>6</v>
      </c>
      <c r="D18" s="1" t="s">
        <v>41</v>
      </c>
      <c r="E18" s="1">
        <v>275.12</v>
      </c>
      <c r="F18" s="1">
        <v>12.79</v>
      </c>
      <c r="G18" s="1">
        <v>10.42</v>
      </c>
      <c r="H18" s="1">
        <v>12.11</v>
      </c>
      <c r="I18" s="1">
        <v>50.51</v>
      </c>
      <c r="J18" s="1">
        <v>42.77</v>
      </c>
      <c r="K18" s="1">
        <v>11.5875</v>
      </c>
      <c r="L18" s="4">
        <v>411.44</v>
      </c>
      <c r="M18" s="1">
        <f t="shared" si="1"/>
        <v>415.3075</v>
      </c>
      <c r="N18" s="1">
        <f t="shared" si="2"/>
        <v>272.5579788</v>
      </c>
      <c r="O18" s="1">
        <f t="shared" si="3"/>
        <v>12.6708947</v>
      </c>
      <c r="P18" s="1">
        <f t="shared" si="4"/>
        <v>10.32296503</v>
      </c>
      <c r="Q18" s="1">
        <f t="shared" si="5"/>
        <v>11.99722711</v>
      </c>
      <c r="R18" s="1">
        <f t="shared" si="6"/>
        <v>50.03963184</v>
      </c>
      <c r="S18" s="1">
        <f t="shared" si="7"/>
        <v>42.37170964</v>
      </c>
      <c r="T18" s="1">
        <f t="shared" si="8"/>
        <v>11.47959283</v>
      </c>
      <c r="U18" s="1">
        <f t="shared" si="9"/>
        <v>411.44</v>
      </c>
    </row>
    <row r="19" ht="14.25" customHeight="1">
      <c r="A19" s="1">
        <v>2023.0</v>
      </c>
      <c r="B19" s="1">
        <v>2.0</v>
      </c>
      <c r="C19" s="1" t="s">
        <v>6</v>
      </c>
      <c r="D19" s="1" t="s">
        <v>42</v>
      </c>
      <c r="E19" s="1">
        <v>252.82</v>
      </c>
      <c r="F19" s="1">
        <v>19.31</v>
      </c>
      <c r="G19" s="1">
        <v>25.46</v>
      </c>
      <c r="H19" s="1">
        <v>63.2</v>
      </c>
      <c r="I19" s="1">
        <v>42.14</v>
      </c>
      <c r="J19" s="1">
        <v>2.2</v>
      </c>
      <c r="K19" s="1">
        <v>16.23</v>
      </c>
      <c r="L19" s="4">
        <v>436.662</v>
      </c>
      <c r="M19" s="1">
        <f t="shared" si="1"/>
        <v>421.36</v>
      </c>
      <c r="N19" s="1">
        <f t="shared" si="2"/>
        <v>262.0013453</v>
      </c>
      <c r="O19" s="1">
        <f t="shared" si="3"/>
        <v>20.01125693</v>
      </c>
      <c r="P19" s="1">
        <f t="shared" si="4"/>
        <v>26.38459873</v>
      </c>
      <c r="Q19" s="1">
        <f t="shared" si="5"/>
        <v>65.49515474</v>
      </c>
      <c r="R19" s="1">
        <f t="shared" si="6"/>
        <v>43.67034526</v>
      </c>
      <c r="S19" s="1">
        <f t="shared" si="7"/>
        <v>2.279894627</v>
      </c>
      <c r="T19" s="1">
        <f t="shared" si="8"/>
        <v>16.81940445</v>
      </c>
      <c r="U19" s="1">
        <f t="shared" si="9"/>
        <v>436.662</v>
      </c>
    </row>
    <row r="20" ht="14.25" customHeight="1">
      <c r="A20" s="1">
        <v>2023.0</v>
      </c>
      <c r="B20" s="1">
        <v>2.0</v>
      </c>
      <c r="C20" s="1" t="s">
        <v>6</v>
      </c>
      <c r="D20" s="1" t="s">
        <v>43</v>
      </c>
      <c r="E20" s="1">
        <v>205.74</v>
      </c>
      <c r="F20" s="1">
        <v>21.82</v>
      </c>
      <c r="G20" s="1">
        <v>56.31</v>
      </c>
      <c r="H20" s="1">
        <v>51.92</v>
      </c>
      <c r="I20" s="1">
        <v>20.99</v>
      </c>
      <c r="J20" s="1">
        <v>9.94</v>
      </c>
      <c r="K20" s="1">
        <v>27.86</v>
      </c>
      <c r="L20" s="4">
        <v>407.6024</v>
      </c>
      <c r="M20" s="1">
        <f t="shared" si="1"/>
        <v>394.58</v>
      </c>
      <c r="N20" s="1">
        <f t="shared" si="2"/>
        <v>212.530077</v>
      </c>
      <c r="O20" s="1">
        <f t="shared" si="3"/>
        <v>22.54012968</v>
      </c>
      <c r="P20" s="1">
        <f t="shared" si="4"/>
        <v>58.16840981</v>
      </c>
      <c r="Q20" s="1">
        <f t="shared" si="5"/>
        <v>53.63352579</v>
      </c>
      <c r="R20" s="1">
        <f t="shared" si="6"/>
        <v>21.68273703</v>
      </c>
      <c r="S20" s="1">
        <f t="shared" si="7"/>
        <v>10.26805174</v>
      </c>
      <c r="T20" s="1">
        <f t="shared" si="8"/>
        <v>28.77946896</v>
      </c>
      <c r="U20" s="1">
        <f t="shared" si="9"/>
        <v>407.6024</v>
      </c>
    </row>
    <row r="21" ht="14.25" customHeight="1">
      <c r="A21" s="1">
        <v>2023.0</v>
      </c>
      <c r="B21" s="1">
        <v>2.0</v>
      </c>
      <c r="C21" s="1" t="s">
        <v>6</v>
      </c>
      <c r="D21" s="1" t="s">
        <v>44</v>
      </c>
      <c r="E21" s="1">
        <v>36.0</v>
      </c>
      <c r="F21" s="1">
        <v>11.0</v>
      </c>
      <c r="G21" s="1">
        <v>8.0</v>
      </c>
      <c r="H21" s="1">
        <v>24.0</v>
      </c>
      <c r="I21" s="1">
        <v>7.0</v>
      </c>
      <c r="J21" s="1">
        <v>2.0</v>
      </c>
      <c r="K21" s="1">
        <v>12.0</v>
      </c>
      <c r="L21" s="4">
        <v>472.3228</v>
      </c>
      <c r="M21" s="1">
        <f t="shared" si="1"/>
        <v>100</v>
      </c>
      <c r="N21" s="1">
        <f t="shared" si="2"/>
        <v>170.036208</v>
      </c>
      <c r="O21" s="1">
        <f t="shared" si="3"/>
        <v>51.955508</v>
      </c>
      <c r="P21" s="1">
        <f t="shared" si="4"/>
        <v>37.785824</v>
      </c>
      <c r="Q21" s="1">
        <f t="shared" si="5"/>
        <v>113.357472</v>
      </c>
      <c r="R21" s="1">
        <f t="shared" si="6"/>
        <v>33.062596</v>
      </c>
      <c r="S21" s="1">
        <f t="shared" si="7"/>
        <v>9.446456</v>
      </c>
      <c r="T21" s="1">
        <f t="shared" si="8"/>
        <v>56.678736</v>
      </c>
      <c r="U21" s="1">
        <f t="shared" si="9"/>
        <v>472.3228</v>
      </c>
    </row>
    <row r="22" ht="14.25" customHeight="1">
      <c r="A22" s="1">
        <v>2023.0</v>
      </c>
      <c r="B22" s="1">
        <v>2.0</v>
      </c>
      <c r="C22" s="1" t="s">
        <v>6</v>
      </c>
      <c r="D22" s="1" t="s">
        <v>45</v>
      </c>
      <c r="E22" s="1">
        <v>196.545</v>
      </c>
      <c r="F22" s="1">
        <v>11.0</v>
      </c>
      <c r="G22" s="1">
        <v>11.715</v>
      </c>
      <c r="H22" s="1">
        <v>26.95</v>
      </c>
      <c r="I22" s="1">
        <v>10.0</v>
      </c>
      <c r="J22" s="1">
        <v>6.02</v>
      </c>
      <c r="K22" s="1">
        <v>11.76875</v>
      </c>
      <c r="L22" s="4">
        <v>702.9956</v>
      </c>
      <c r="M22" s="1">
        <f t="shared" si="1"/>
        <v>273.99875</v>
      </c>
      <c r="N22" s="1">
        <f t="shared" si="2"/>
        <v>504.2733596</v>
      </c>
      <c r="O22" s="1">
        <f t="shared" si="3"/>
        <v>28.22257985</v>
      </c>
      <c r="P22" s="1">
        <f t="shared" si="4"/>
        <v>30.05704754</v>
      </c>
      <c r="Q22" s="1">
        <f t="shared" si="5"/>
        <v>69.14532063</v>
      </c>
      <c r="R22" s="1">
        <f t="shared" si="6"/>
        <v>25.65689077</v>
      </c>
      <c r="S22" s="1">
        <f t="shared" si="7"/>
        <v>15.44544824</v>
      </c>
      <c r="T22" s="1">
        <f t="shared" si="8"/>
        <v>30.19495333</v>
      </c>
      <c r="U22" s="1">
        <f t="shared" si="9"/>
        <v>702.9956</v>
      </c>
    </row>
    <row r="23" ht="14.25" customHeight="1">
      <c r="A23" s="1">
        <v>2023.0</v>
      </c>
      <c r="B23" s="1">
        <v>2.0</v>
      </c>
      <c r="C23" s="1" t="s">
        <v>6</v>
      </c>
      <c r="D23" s="1" t="s">
        <v>46</v>
      </c>
      <c r="E23" s="1">
        <v>25.0</v>
      </c>
      <c r="F23" s="1">
        <v>3.0</v>
      </c>
      <c r="G23" s="1">
        <v>2.0</v>
      </c>
      <c r="H23" s="1">
        <v>45.0</v>
      </c>
      <c r="I23" s="1">
        <v>10.0</v>
      </c>
      <c r="J23" s="1">
        <v>6.0</v>
      </c>
      <c r="K23" s="1">
        <v>9.0</v>
      </c>
      <c r="L23" s="4">
        <v>1032.751</v>
      </c>
      <c r="M23" s="1">
        <f t="shared" si="1"/>
        <v>100</v>
      </c>
      <c r="N23" s="1">
        <f t="shared" si="2"/>
        <v>258.18775</v>
      </c>
      <c r="O23" s="1">
        <f t="shared" si="3"/>
        <v>30.98253</v>
      </c>
      <c r="P23" s="1">
        <f t="shared" si="4"/>
        <v>20.65502</v>
      </c>
      <c r="Q23" s="1">
        <f t="shared" si="5"/>
        <v>464.73795</v>
      </c>
      <c r="R23" s="1">
        <f t="shared" si="6"/>
        <v>103.2751</v>
      </c>
      <c r="S23" s="1">
        <f t="shared" si="7"/>
        <v>61.96506</v>
      </c>
      <c r="T23" s="1">
        <f t="shared" si="8"/>
        <v>92.94759</v>
      </c>
      <c r="U23" s="1">
        <f t="shared" si="9"/>
        <v>1032.751</v>
      </c>
    </row>
    <row r="24" ht="14.25" customHeight="1">
      <c r="A24" s="1">
        <v>2023.0</v>
      </c>
      <c r="B24" s="1">
        <v>2.0</v>
      </c>
      <c r="C24" s="1" t="s">
        <v>6</v>
      </c>
      <c r="D24" s="1" t="s">
        <v>47</v>
      </c>
      <c r="E24" s="1">
        <v>2.09</v>
      </c>
      <c r="F24" s="1">
        <v>1.15</v>
      </c>
      <c r="G24" s="1">
        <v>12.27</v>
      </c>
      <c r="H24" s="1">
        <v>4.21</v>
      </c>
      <c r="I24" s="1">
        <v>0.86</v>
      </c>
      <c r="J24" s="1">
        <v>15.94</v>
      </c>
      <c r="K24" s="1">
        <v>14.31</v>
      </c>
      <c r="L24" s="4">
        <v>85.2054</v>
      </c>
      <c r="M24" s="1">
        <f t="shared" si="1"/>
        <v>50.83</v>
      </c>
      <c r="N24" s="1">
        <f t="shared" si="2"/>
        <v>3.503428802</v>
      </c>
      <c r="O24" s="1">
        <f t="shared" si="3"/>
        <v>1.927723982</v>
      </c>
      <c r="P24" s="1">
        <f t="shared" si="4"/>
        <v>20.56797675</v>
      </c>
      <c r="Q24" s="1">
        <f t="shared" si="5"/>
        <v>7.057146055</v>
      </c>
      <c r="R24" s="1">
        <f t="shared" si="6"/>
        <v>1.441602282</v>
      </c>
      <c r="S24" s="1">
        <f t="shared" si="7"/>
        <v>26.71993067</v>
      </c>
      <c r="T24" s="1">
        <f t="shared" si="8"/>
        <v>23.98759146</v>
      </c>
      <c r="U24" s="1">
        <f t="shared" si="9"/>
        <v>85.2054</v>
      </c>
    </row>
    <row r="25" ht="14.25" customHeight="1">
      <c r="A25" s="1">
        <v>2023.0</v>
      </c>
      <c r="B25" s="1">
        <v>2.0</v>
      </c>
      <c r="C25" s="1" t="s">
        <v>6</v>
      </c>
      <c r="D25" s="1" t="s">
        <v>48</v>
      </c>
      <c r="E25" s="1">
        <v>148.51</v>
      </c>
      <c r="F25" s="1">
        <v>74.26</v>
      </c>
      <c r="G25" s="1">
        <v>74.26</v>
      </c>
      <c r="H25" s="1">
        <v>2.75</v>
      </c>
      <c r="I25" s="1">
        <v>3.44</v>
      </c>
      <c r="J25" s="1">
        <v>54.46</v>
      </c>
      <c r="K25" s="1">
        <v>0.13</v>
      </c>
      <c r="L25" s="4">
        <v>421.4818</v>
      </c>
      <c r="M25" s="1">
        <f t="shared" si="1"/>
        <v>357.81</v>
      </c>
      <c r="N25" s="1">
        <f t="shared" si="2"/>
        <v>174.9371513</v>
      </c>
      <c r="O25" s="1">
        <f t="shared" si="3"/>
        <v>87.47446541</v>
      </c>
      <c r="P25" s="1">
        <f t="shared" si="4"/>
        <v>87.47446541</v>
      </c>
      <c r="Q25" s="1">
        <f t="shared" si="5"/>
        <v>3.239358738</v>
      </c>
      <c r="R25" s="1">
        <f t="shared" si="6"/>
        <v>4.052143294</v>
      </c>
      <c r="S25" s="1">
        <f t="shared" si="7"/>
        <v>64.1510825</v>
      </c>
      <c r="T25" s="1">
        <f t="shared" si="8"/>
        <v>0.1531333222</v>
      </c>
      <c r="U25" s="1">
        <f t="shared" si="9"/>
        <v>421.4818</v>
      </c>
    </row>
    <row r="26" ht="14.25" customHeight="1">
      <c r="A26" s="1">
        <v>2023.0</v>
      </c>
      <c r="B26" s="1">
        <v>2.0</v>
      </c>
      <c r="C26" s="1" t="s">
        <v>6</v>
      </c>
      <c r="D26" s="1" t="s">
        <v>49</v>
      </c>
      <c r="E26" s="1">
        <v>196.545</v>
      </c>
      <c r="F26" s="1">
        <v>11.0</v>
      </c>
      <c r="G26" s="1">
        <v>11.715</v>
      </c>
      <c r="H26" s="1">
        <v>26.95</v>
      </c>
      <c r="I26" s="1">
        <v>10.0</v>
      </c>
      <c r="J26" s="1">
        <v>0.75</v>
      </c>
      <c r="K26" s="1">
        <v>11.76875</v>
      </c>
      <c r="L26" s="4">
        <v>115.9768</v>
      </c>
      <c r="M26" s="1">
        <f t="shared" si="1"/>
        <v>268.72875</v>
      </c>
      <c r="N26" s="1">
        <f t="shared" si="2"/>
        <v>84.82404713</v>
      </c>
      <c r="O26" s="1">
        <f t="shared" si="3"/>
        <v>4.747332766</v>
      </c>
      <c r="P26" s="1">
        <f t="shared" si="4"/>
        <v>5.055909396</v>
      </c>
      <c r="Q26" s="1">
        <f t="shared" si="5"/>
        <v>11.63096528</v>
      </c>
      <c r="R26" s="1">
        <f t="shared" si="6"/>
        <v>4.31575706</v>
      </c>
      <c r="S26" s="1">
        <f t="shared" si="7"/>
        <v>0.3236817795</v>
      </c>
      <c r="T26" s="1">
        <f t="shared" si="8"/>
        <v>5.07910659</v>
      </c>
      <c r="U26" s="1">
        <f t="shared" si="9"/>
        <v>115.9768</v>
      </c>
    </row>
    <row r="27" ht="14.25" customHeight="1">
      <c r="A27" s="1">
        <v>2023.0</v>
      </c>
      <c r="B27" s="1">
        <v>2.0</v>
      </c>
      <c r="C27" s="1" t="s">
        <v>6</v>
      </c>
      <c r="D27" s="1" t="s">
        <v>50</v>
      </c>
      <c r="E27" s="1">
        <v>72.0</v>
      </c>
      <c r="F27" s="1">
        <v>0.5</v>
      </c>
      <c r="G27" s="1">
        <v>8.0</v>
      </c>
      <c r="H27" s="1">
        <v>2.6</v>
      </c>
      <c r="I27" s="1">
        <v>9.0</v>
      </c>
      <c r="J27" s="1">
        <v>1.3</v>
      </c>
      <c r="K27" s="1">
        <v>6.6</v>
      </c>
      <c r="L27" s="4">
        <v>1191.938</v>
      </c>
      <c r="M27" s="1">
        <f t="shared" si="1"/>
        <v>100</v>
      </c>
      <c r="N27" s="1">
        <f t="shared" si="2"/>
        <v>858.19536</v>
      </c>
      <c r="O27" s="1">
        <f t="shared" si="3"/>
        <v>5.95969</v>
      </c>
      <c r="P27" s="1">
        <f t="shared" si="4"/>
        <v>95.35504</v>
      </c>
      <c r="Q27" s="1">
        <f t="shared" si="5"/>
        <v>30.990388</v>
      </c>
      <c r="R27" s="1">
        <f t="shared" si="6"/>
        <v>107.27442</v>
      </c>
      <c r="S27" s="1">
        <f t="shared" si="7"/>
        <v>15.495194</v>
      </c>
      <c r="T27" s="1">
        <f t="shared" si="8"/>
        <v>78.667908</v>
      </c>
      <c r="U27" s="1">
        <f t="shared" si="9"/>
        <v>1191.938</v>
      </c>
    </row>
    <row r="28" ht="14.25" customHeight="1">
      <c r="A28" s="1">
        <v>2024.0</v>
      </c>
      <c r="B28" s="1">
        <v>2.0</v>
      </c>
      <c r="C28" s="1" t="s">
        <v>6</v>
      </c>
      <c r="D28" s="1" t="s">
        <v>7</v>
      </c>
      <c r="E28" s="1">
        <v>373.0</v>
      </c>
      <c r="F28" s="1">
        <v>155.0</v>
      </c>
      <c r="G28" s="1">
        <v>31.0</v>
      </c>
      <c r="H28" s="1">
        <v>207.0</v>
      </c>
      <c r="I28" s="1">
        <v>8.0</v>
      </c>
      <c r="J28" s="1">
        <v>114.0</v>
      </c>
      <c r="K28" s="1">
        <v>62.0</v>
      </c>
      <c r="L28" s="4">
        <v>963.7579</v>
      </c>
      <c r="M28" s="1">
        <f t="shared" si="1"/>
        <v>950</v>
      </c>
      <c r="N28" s="1">
        <f t="shared" si="2"/>
        <v>378.401786</v>
      </c>
      <c r="O28" s="1">
        <f t="shared" si="3"/>
        <v>157.24471</v>
      </c>
      <c r="P28" s="1">
        <f t="shared" si="4"/>
        <v>31.448942</v>
      </c>
      <c r="Q28" s="1">
        <f t="shared" si="5"/>
        <v>209.997774</v>
      </c>
      <c r="R28" s="1">
        <f t="shared" si="6"/>
        <v>8.115856</v>
      </c>
      <c r="S28" s="1">
        <f t="shared" si="7"/>
        <v>115.650948</v>
      </c>
      <c r="T28" s="1">
        <f t="shared" si="8"/>
        <v>62.897884</v>
      </c>
      <c r="U28" s="1">
        <f t="shared" si="9"/>
        <v>963.7579</v>
      </c>
    </row>
    <row r="29" ht="14.25" customHeight="1">
      <c r="A29" s="1">
        <v>2024.0</v>
      </c>
      <c r="B29" s="1">
        <v>2.0</v>
      </c>
      <c r="C29" s="1" t="s">
        <v>6</v>
      </c>
      <c r="D29" s="1" t="s">
        <v>10</v>
      </c>
      <c r="E29" s="1">
        <v>65.0</v>
      </c>
      <c r="F29" s="1">
        <v>9.0</v>
      </c>
      <c r="G29" s="1">
        <v>4.0</v>
      </c>
      <c r="H29" s="1">
        <v>6.0</v>
      </c>
      <c r="I29" s="1">
        <v>10.0</v>
      </c>
      <c r="J29" s="1">
        <v>5.0</v>
      </c>
      <c r="K29" s="1">
        <v>4.0</v>
      </c>
      <c r="L29" s="4">
        <v>485.1229</v>
      </c>
      <c r="M29" s="1">
        <f t="shared" si="1"/>
        <v>103</v>
      </c>
      <c r="N29" s="1">
        <f t="shared" si="2"/>
        <v>306.1455194</v>
      </c>
      <c r="O29" s="1">
        <f t="shared" si="3"/>
        <v>42.38937961</v>
      </c>
      <c r="P29" s="1">
        <f t="shared" si="4"/>
        <v>18.83972427</v>
      </c>
      <c r="Q29" s="1">
        <f t="shared" si="5"/>
        <v>28.25958641</v>
      </c>
      <c r="R29" s="1">
        <f t="shared" si="6"/>
        <v>47.09931068</v>
      </c>
      <c r="S29" s="1">
        <f t="shared" si="7"/>
        <v>23.54965534</v>
      </c>
      <c r="T29" s="1">
        <f t="shared" si="8"/>
        <v>18.83972427</v>
      </c>
      <c r="U29" s="1">
        <f t="shared" si="9"/>
        <v>485.1229</v>
      </c>
    </row>
    <row r="30" ht="14.25" customHeight="1">
      <c r="A30" s="1">
        <v>2024.0</v>
      </c>
      <c r="B30" s="1">
        <v>2.0</v>
      </c>
      <c r="C30" s="1" t="s">
        <v>6</v>
      </c>
      <c r="D30" s="1" t="s">
        <v>15</v>
      </c>
      <c r="E30" s="1">
        <v>57.11</v>
      </c>
      <c r="F30" s="1">
        <v>0.01</v>
      </c>
      <c r="G30" s="1">
        <v>0.16</v>
      </c>
      <c r="H30" s="1">
        <v>13.88</v>
      </c>
      <c r="I30" s="1">
        <v>1.42</v>
      </c>
      <c r="J30" s="1">
        <v>0.12</v>
      </c>
      <c r="K30" s="1">
        <v>0.27</v>
      </c>
      <c r="L30" s="4">
        <v>323.116</v>
      </c>
      <c r="M30" s="1">
        <f t="shared" si="1"/>
        <v>72.97</v>
      </c>
      <c r="N30" s="1">
        <f t="shared" si="2"/>
        <v>252.886868</v>
      </c>
      <c r="O30" s="1">
        <f t="shared" si="3"/>
        <v>0.04428066329</v>
      </c>
      <c r="P30" s="1">
        <f t="shared" si="4"/>
        <v>0.7084906126</v>
      </c>
      <c r="Q30" s="1">
        <f t="shared" si="5"/>
        <v>61.46156064</v>
      </c>
      <c r="R30" s="1">
        <f t="shared" si="6"/>
        <v>6.287854187</v>
      </c>
      <c r="S30" s="1">
        <f t="shared" si="7"/>
        <v>0.5313679594</v>
      </c>
      <c r="T30" s="1">
        <f t="shared" si="8"/>
        <v>1.195577909</v>
      </c>
      <c r="U30" s="1">
        <f t="shared" si="9"/>
        <v>323.116</v>
      </c>
    </row>
    <row r="31" ht="14.25" customHeight="1">
      <c r="A31" s="1">
        <v>2024.0</v>
      </c>
      <c r="B31" s="1">
        <v>2.0</v>
      </c>
      <c r="C31" s="1" t="s">
        <v>6</v>
      </c>
      <c r="D31" s="1" t="s">
        <v>22</v>
      </c>
      <c r="E31" s="1">
        <v>260.0</v>
      </c>
      <c r="F31" s="1">
        <v>2.0</v>
      </c>
      <c r="G31" s="1">
        <v>10.0</v>
      </c>
      <c r="H31" s="1">
        <v>50.0</v>
      </c>
      <c r="I31" s="1">
        <v>6.0</v>
      </c>
      <c r="J31" s="1">
        <v>30.0</v>
      </c>
      <c r="K31" s="1">
        <v>5.0</v>
      </c>
      <c r="L31" s="4">
        <v>363.8656</v>
      </c>
      <c r="M31" s="1">
        <f t="shared" si="1"/>
        <v>363</v>
      </c>
      <c r="N31" s="1">
        <f t="shared" si="2"/>
        <v>260.619989</v>
      </c>
      <c r="O31" s="1">
        <f t="shared" si="3"/>
        <v>2.004769146</v>
      </c>
      <c r="P31" s="1">
        <f t="shared" si="4"/>
        <v>10.02384573</v>
      </c>
      <c r="Q31" s="1">
        <f t="shared" si="5"/>
        <v>50.11922865</v>
      </c>
      <c r="R31" s="1">
        <f t="shared" si="6"/>
        <v>6.014307438</v>
      </c>
      <c r="S31" s="1">
        <f t="shared" si="7"/>
        <v>30.07153719</v>
      </c>
      <c r="T31" s="1">
        <f t="shared" si="8"/>
        <v>5.011922865</v>
      </c>
      <c r="U31" s="1">
        <f t="shared" si="9"/>
        <v>363.8656</v>
      </c>
    </row>
    <row r="32" ht="14.25" customHeight="1">
      <c r="A32" s="1">
        <v>2024.0</v>
      </c>
      <c r="B32" s="1">
        <v>2.0</v>
      </c>
      <c r="C32" s="1" t="s">
        <v>6</v>
      </c>
      <c r="D32" s="1" t="s">
        <v>26</v>
      </c>
      <c r="E32" s="1">
        <v>78.83</v>
      </c>
      <c r="F32" s="1">
        <v>2.01</v>
      </c>
      <c r="G32" s="1">
        <v>5.79</v>
      </c>
      <c r="H32" s="1">
        <v>7.69</v>
      </c>
      <c r="I32" s="1">
        <v>1.97</v>
      </c>
      <c r="J32" s="1">
        <v>0.96</v>
      </c>
      <c r="K32" s="1">
        <v>2.75</v>
      </c>
      <c r="L32" s="4">
        <v>668.7055</v>
      </c>
      <c r="M32" s="1">
        <f t="shared" si="1"/>
        <v>100</v>
      </c>
      <c r="N32" s="1">
        <f t="shared" si="2"/>
        <v>527.1405457</v>
      </c>
      <c r="O32" s="1">
        <f t="shared" si="3"/>
        <v>13.44098055</v>
      </c>
      <c r="P32" s="1">
        <f t="shared" si="4"/>
        <v>38.71804845</v>
      </c>
      <c r="Q32" s="1">
        <f t="shared" si="5"/>
        <v>51.42345295</v>
      </c>
      <c r="R32" s="1">
        <f t="shared" si="6"/>
        <v>13.17349835</v>
      </c>
      <c r="S32" s="1">
        <f t="shared" si="7"/>
        <v>6.4195728</v>
      </c>
      <c r="T32" s="1">
        <f t="shared" si="8"/>
        <v>18.38940125</v>
      </c>
      <c r="U32" s="1">
        <f t="shared" si="9"/>
        <v>668.7055</v>
      </c>
    </row>
    <row r="33" ht="14.25" customHeight="1">
      <c r="A33" s="1">
        <v>2024.0</v>
      </c>
      <c r="B33" s="1">
        <v>2.0</v>
      </c>
      <c r="C33" s="1" t="s">
        <v>6</v>
      </c>
      <c r="D33" s="1" t="s">
        <v>29</v>
      </c>
      <c r="E33" s="1">
        <v>89.94</v>
      </c>
      <c r="F33" s="1">
        <v>37.47</v>
      </c>
      <c r="G33" s="1">
        <v>74.95</v>
      </c>
      <c r="H33" s="1">
        <v>59.96</v>
      </c>
      <c r="I33" s="1">
        <v>19.49</v>
      </c>
      <c r="J33" s="1">
        <v>2.99</v>
      </c>
      <c r="K33" s="1">
        <v>14.99</v>
      </c>
      <c r="L33" s="4">
        <v>299.7934</v>
      </c>
      <c r="M33" s="1">
        <f t="shared" si="1"/>
        <v>299.79</v>
      </c>
      <c r="N33" s="1">
        <f t="shared" si="2"/>
        <v>89.94102003</v>
      </c>
      <c r="O33" s="1">
        <f t="shared" si="3"/>
        <v>37.47042496</v>
      </c>
      <c r="P33" s="1">
        <f t="shared" si="4"/>
        <v>74.95085003</v>
      </c>
      <c r="Q33" s="1">
        <f t="shared" si="5"/>
        <v>59.96068002</v>
      </c>
      <c r="R33" s="1">
        <f t="shared" si="6"/>
        <v>19.49022104</v>
      </c>
      <c r="S33" s="1">
        <f t="shared" si="7"/>
        <v>2.99003391</v>
      </c>
      <c r="T33" s="1">
        <f t="shared" si="8"/>
        <v>14.99017001</v>
      </c>
      <c r="U33" s="1">
        <f t="shared" si="9"/>
        <v>299.7934</v>
      </c>
    </row>
    <row r="34" ht="14.25" customHeight="1">
      <c r="A34" s="1">
        <v>2024.0</v>
      </c>
      <c r="B34" s="1">
        <v>2.0</v>
      </c>
      <c r="C34" s="1" t="s">
        <v>6</v>
      </c>
      <c r="D34" s="1" t="s">
        <v>31</v>
      </c>
      <c r="E34" s="1">
        <v>352.5</v>
      </c>
      <c r="F34" s="1">
        <v>11.0</v>
      </c>
      <c r="G34" s="1">
        <v>2.2</v>
      </c>
      <c r="H34" s="1">
        <v>3.4</v>
      </c>
      <c r="I34" s="1">
        <v>10.0</v>
      </c>
      <c r="J34" s="1">
        <v>6.02</v>
      </c>
      <c r="K34" s="1">
        <v>6.4</v>
      </c>
      <c r="L34" s="4">
        <v>653.9714</v>
      </c>
      <c r="M34" s="1">
        <f t="shared" si="1"/>
        <v>391.52</v>
      </c>
      <c r="N34" s="1">
        <f t="shared" si="2"/>
        <v>588.7947448</v>
      </c>
      <c r="O34" s="1">
        <f t="shared" si="3"/>
        <v>18.37373672</v>
      </c>
      <c r="P34" s="1">
        <f t="shared" si="4"/>
        <v>3.674747344</v>
      </c>
      <c r="Q34" s="1">
        <f t="shared" si="5"/>
        <v>5.679154986</v>
      </c>
      <c r="R34" s="1">
        <f t="shared" si="6"/>
        <v>16.70339702</v>
      </c>
      <c r="S34" s="1">
        <f t="shared" si="7"/>
        <v>10.055445</v>
      </c>
      <c r="T34" s="1">
        <f t="shared" si="8"/>
        <v>10.69017409</v>
      </c>
      <c r="U34" s="1">
        <f t="shared" si="9"/>
        <v>653.9714</v>
      </c>
    </row>
    <row r="35" ht="14.25" customHeight="1">
      <c r="A35" s="1">
        <v>2024.0</v>
      </c>
      <c r="B35" s="1">
        <v>2.0</v>
      </c>
      <c r="C35" s="1" t="s">
        <v>6</v>
      </c>
      <c r="D35" s="1" t="s">
        <v>32</v>
      </c>
      <c r="E35" s="1">
        <v>241.13</v>
      </c>
      <c r="F35" s="1">
        <v>37.41</v>
      </c>
      <c r="G35" s="1">
        <v>14.91</v>
      </c>
      <c r="H35" s="1">
        <v>13.87</v>
      </c>
      <c r="I35" s="1">
        <v>30.22</v>
      </c>
      <c r="J35" s="1">
        <v>12.49</v>
      </c>
      <c r="K35" s="1">
        <v>17.0</v>
      </c>
      <c r="L35" s="4">
        <v>366.5888</v>
      </c>
      <c r="M35" s="1">
        <f t="shared" si="1"/>
        <v>367.03</v>
      </c>
      <c r="N35" s="1">
        <f t="shared" si="2"/>
        <v>240.8401421</v>
      </c>
      <c r="O35" s="1">
        <f t="shared" si="3"/>
        <v>37.36503013</v>
      </c>
      <c r="P35" s="1">
        <f t="shared" si="4"/>
        <v>14.89207696</v>
      </c>
      <c r="Q35" s="1">
        <f t="shared" si="5"/>
        <v>13.85332713</v>
      </c>
      <c r="R35" s="1">
        <f t="shared" si="6"/>
        <v>30.18367309</v>
      </c>
      <c r="S35" s="1">
        <f t="shared" si="7"/>
        <v>12.474986</v>
      </c>
      <c r="T35" s="1">
        <f t="shared" si="8"/>
        <v>16.97956461</v>
      </c>
      <c r="U35" s="1">
        <f t="shared" si="9"/>
        <v>366.5888</v>
      </c>
    </row>
    <row r="36" ht="14.25" customHeight="1">
      <c r="A36" s="1">
        <v>2024.0</v>
      </c>
      <c r="B36" s="1">
        <v>2.0</v>
      </c>
      <c r="C36" s="1" t="s">
        <v>6</v>
      </c>
      <c r="D36" s="1" t="s">
        <v>33</v>
      </c>
      <c r="E36" s="1">
        <v>156.78</v>
      </c>
      <c r="F36" s="1">
        <v>52.26</v>
      </c>
      <c r="G36" s="1">
        <v>13.94</v>
      </c>
      <c r="H36" s="1">
        <v>87.1</v>
      </c>
      <c r="I36" s="1">
        <v>20.9</v>
      </c>
      <c r="J36" s="1">
        <v>6.97</v>
      </c>
      <c r="K36" s="1">
        <v>10.45</v>
      </c>
      <c r="L36" s="4">
        <v>348.4015</v>
      </c>
      <c r="M36" s="1">
        <f t="shared" si="1"/>
        <v>348.4</v>
      </c>
      <c r="N36" s="1">
        <f t="shared" si="2"/>
        <v>156.780675</v>
      </c>
      <c r="O36" s="1">
        <f t="shared" si="3"/>
        <v>52.260225</v>
      </c>
      <c r="P36" s="1">
        <f t="shared" si="4"/>
        <v>13.94006002</v>
      </c>
      <c r="Q36" s="1">
        <f t="shared" si="5"/>
        <v>87.100375</v>
      </c>
      <c r="R36" s="1">
        <f t="shared" si="6"/>
        <v>20.90008998</v>
      </c>
      <c r="S36" s="1">
        <f t="shared" si="7"/>
        <v>6.970030009</v>
      </c>
      <c r="T36" s="1">
        <f t="shared" si="8"/>
        <v>10.45004499</v>
      </c>
      <c r="U36" s="1">
        <f t="shared" si="9"/>
        <v>348.4015</v>
      </c>
    </row>
    <row r="37" ht="14.25" customHeight="1">
      <c r="A37" s="1">
        <v>2024.0</v>
      </c>
      <c r="B37" s="1">
        <v>2.0</v>
      </c>
      <c r="C37" s="1" t="s">
        <v>6</v>
      </c>
      <c r="D37" s="1" t="s">
        <v>34</v>
      </c>
      <c r="E37" s="1">
        <v>45.0</v>
      </c>
      <c r="F37" s="1">
        <v>2.0</v>
      </c>
      <c r="G37" s="1">
        <v>1.0</v>
      </c>
      <c r="H37" s="1">
        <v>21.0</v>
      </c>
      <c r="I37" s="1">
        <v>1.0</v>
      </c>
      <c r="J37" s="1">
        <v>6.02</v>
      </c>
      <c r="K37" s="1">
        <v>11.76875</v>
      </c>
      <c r="L37" s="4">
        <v>382.0464</v>
      </c>
      <c r="M37" s="1">
        <f t="shared" si="1"/>
        <v>87.78875</v>
      </c>
      <c r="N37" s="1">
        <f t="shared" si="2"/>
        <v>195.834751</v>
      </c>
      <c r="O37" s="1">
        <f t="shared" si="3"/>
        <v>8.703766713</v>
      </c>
      <c r="P37" s="1">
        <f t="shared" si="4"/>
        <v>4.351883356</v>
      </c>
      <c r="Q37" s="1">
        <f t="shared" si="5"/>
        <v>91.38955048</v>
      </c>
      <c r="R37" s="1">
        <f t="shared" si="6"/>
        <v>4.351883356</v>
      </c>
      <c r="S37" s="1">
        <f t="shared" si="7"/>
        <v>26.19833781</v>
      </c>
      <c r="T37" s="1">
        <f t="shared" si="8"/>
        <v>51.21622725</v>
      </c>
      <c r="U37" s="1">
        <f t="shared" si="9"/>
        <v>382.0464</v>
      </c>
    </row>
    <row r="38" ht="14.25" customHeight="1">
      <c r="A38" s="1">
        <v>2024.0</v>
      </c>
      <c r="B38" s="1">
        <v>2.0</v>
      </c>
      <c r="C38" s="1" t="s">
        <v>6</v>
      </c>
      <c r="D38" s="1" t="s">
        <v>35</v>
      </c>
      <c r="E38" s="1">
        <v>188.35</v>
      </c>
      <c r="F38" s="1">
        <v>40.22</v>
      </c>
      <c r="G38" s="1">
        <v>50.15</v>
      </c>
      <c r="H38" s="1">
        <v>148.78</v>
      </c>
      <c r="I38" s="1">
        <v>102.94</v>
      </c>
      <c r="J38" s="1">
        <v>3.77</v>
      </c>
      <c r="K38" s="1">
        <v>64.28</v>
      </c>
      <c r="L38" s="4">
        <v>598.491</v>
      </c>
      <c r="M38" s="1">
        <f t="shared" si="1"/>
        <v>598.49</v>
      </c>
      <c r="N38" s="1">
        <f t="shared" si="2"/>
        <v>188.3503147</v>
      </c>
      <c r="O38" s="1">
        <f t="shared" si="3"/>
        <v>40.2200672</v>
      </c>
      <c r="P38" s="1">
        <f t="shared" si="4"/>
        <v>50.15008379</v>
      </c>
      <c r="Q38" s="1">
        <f t="shared" si="5"/>
        <v>148.7802486</v>
      </c>
      <c r="R38" s="1">
        <f t="shared" si="6"/>
        <v>102.940172</v>
      </c>
      <c r="S38" s="1">
        <f t="shared" si="7"/>
        <v>3.770006299</v>
      </c>
      <c r="T38" s="1">
        <f t="shared" si="8"/>
        <v>64.2801074</v>
      </c>
      <c r="U38" s="1">
        <f t="shared" si="9"/>
        <v>598.491</v>
      </c>
    </row>
    <row r="39" ht="14.25" customHeight="1">
      <c r="A39" s="1">
        <v>2024.0</v>
      </c>
      <c r="B39" s="1">
        <v>2.0</v>
      </c>
      <c r="C39" s="1" t="s">
        <v>6</v>
      </c>
      <c r="D39" s="1" t="s">
        <v>36</v>
      </c>
      <c r="E39" s="1">
        <v>512.3</v>
      </c>
      <c r="F39" s="1">
        <v>20.6</v>
      </c>
      <c r="G39" s="1">
        <v>25.0</v>
      </c>
      <c r="H39" s="1">
        <v>26.6</v>
      </c>
      <c r="I39" s="1">
        <v>18.5</v>
      </c>
      <c r="J39" s="1">
        <v>18.08</v>
      </c>
      <c r="K39" s="1">
        <v>58.6</v>
      </c>
      <c r="L39" s="4">
        <v>679.682</v>
      </c>
      <c r="M39" s="1">
        <f t="shared" si="1"/>
        <v>679.68</v>
      </c>
      <c r="N39" s="1">
        <f t="shared" si="2"/>
        <v>512.3015075</v>
      </c>
      <c r="O39" s="1">
        <f t="shared" si="3"/>
        <v>20.60006062</v>
      </c>
      <c r="P39" s="1">
        <f t="shared" si="4"/>
        <v>25.00007356</v>
      </c>
      <c r="Q39" s="1">
        <f t="shared" si="5"/>
        <v>26.60007827</v>
      </c>
      <c r="R39" s="1">
        <f t="shared" si="6"/>
        <v>18.50005444</v>
      </c>
      <c r="S39" s="1">
        <f t="shared" si="7"/>
        <v>18.0800532</v>
      </c>
      <c r="T39" s="1">
        <f t="shared" si="8"/>
        <v>58.60017243</v>
      </c>
      <c r="U39" s="1">
        <f t="shared" si="9"/>
        <v>679.682</v>
      </c>
    </row>
    <row r="40" ht="14.25" customHeight="1">
      <c r="A40" s="1">
        <v>2024.0</v>
      </c>
      <c r="B40" s="1">
        <v>2.0</v>
      </c>
      <c r="C40" s="1" t="s">
        <v>6</v>
      </c>
      <c r="D40" s="1" t="s">
        <v>37</v>
      </c>
      <c r="E40" s="1">
        <v>239.52</v>
      </c>
      <c r="F40" s="1">
        <v>14.94</v>
      </c>
      <c r="G40" s="1">
        <v>25.76</v>
      </c>
      <c r="H40" s="1">
        <v>90.56</v>
      </c>
      <c r="I40" s="1">
        <v>30.85</v>
      </c>
      <c r="J40" s="1">
        <v>20.94</v>
      </c>
      <c r="K40" s="1">
        <v>14.82</v>
      </c>
      <c r="L40" s="4">
        <v>438.9105</v>
      </c>
      <c r="M40" s="1">
        <f t="shared" si="1"/>
        <v>437.39</v>
      </c>
      <c r="N40" s="1">
        <f t="shared" si="2"/>
        <v>240.352644</v>
      </c>
      <c r="O40" s="1">
        <f t="shared" si="3"/>
        <v>14.99193596</v>
      </c>
      <c r="P40" s="1">
        <f t="shared" si="4"/>
        <v>25.84954956</v>
      </c>
      <c r="Q40" s="1">
        <f t="shared" si="5"/>
        <v>90.87481396</v>
      </c>
      <c r="R40" s="1">
        <f t="shared" si="6"/>
        <v>30.95724394</v>
      </c>
      <c r="S40" s="1">
        <f t="shared" si="7"/>
        <v>21.01279378</v>
      </c>
      <c r="T40" s="1">
        <f t="shared" si="8"/>
        <v>14.8715188</v>
      </c>
      <c r="U40" s="1">
        <f t="shared" si="9"/>
        <v>438.9105</v>
      </c>
    </row>
    <row r="41" ht="14.25" customHeight="1">
      <c r="A41" s="1">
        <v>2024.0</v>
      </c>
      <c r="B41" s="1">
        <v>2.0</v>
      </c>
      <c r="C41" s="1" t="s">
        <v>6</v>
      </c>
      <c r="D41" s="1" t="s">
        <v>38</v>
      </c>
      <c r="E41" s="1">
        <v>87.84</v>
      </c>
      <c r="F41" s="1">
        <v>1.11</v>
      </c>
      <c r="G41" s="1">
        <v>48.07</v>
      </c>
      <c r="H41" s="1">
        <v>7.88</v>
      </c>
      <c r="I41" s="1">
        <v>5.79</v>
      </c>
      <c r="J41" s="1">
        <v>1.55</v>
      </c>
      <c r="K41" s="1">
        <v>26.25</v>
      </c>
      <c r="L41" s="4">
        <v>432.6466</v>
      </c>
      <c r="M41" s="1">
        <f t="shared" si="1"/>
        <v>178.49</v>
      </c>
      <c r="N41" s="1">
        <f t="shared" si="2"/>
        <v>212.9176836</v>
      </c>
      <c r="O41" s="1">
        <f t="shared" si="3"/>
        <v>2.69055816</v>
      </c>
      <c r="P41" s="1">
        <f t="shared" si="4"/>
        <v>116.5181358</v>
      </c>
      <c r="Q41" s="1">
        <f t="shared" si="5"/>
        <v>19.10053901</v>
      </c>
      <c r="R41" s="1">
        <f t="shared" si="6"/>
        <v>14.03453311</v>
      </c>
      <c r="S41" s="1">
        <f t="shared" si="7"/>
        <v>3.757085719</v>
      </c>
      <c r="T41" s="1">
        <f t="shared" si="8"/>
        <v>63.6280646</v>
      </c>
      <c r="U41" s="1">
        <f t="shared" si="9"/>
        <v>432.6466</v>
      </c>
    </row>
    <row r="42" ht="14.25" customHeight="1">
      <c r="A42" s="1">
        <v>2024.0</v>
      </c>
      <c r="B42" s="1">
        <v>2.0</v>
      </c>
      <c r="C42" s="1" t="s">
        <v>6</v>
      </c>
      <c r="D42" s="1" t="s">
        <v>39</v>
      </c>
      <c r="E42" s="1">
        <v>493.92</v>
      </c>
      <c r="F42" s="1">
        <v>12.6</v>
      </c>
      <c r="G42" s="1">
        <v>36.26</v>
      </c>
      <c r="H42" s="1">
        <v>48.15</v>
      </c>
      <c r="I42" s="1">
        <v>12.32</v>
      </c>
      <c r="J42" s="1">
        <v>6.02</v>
      </c>
      <c r="K42" s="1">
        <v>17.22</v>
      </c>
      <c r="L42" s="4">
        <v>626.485</v>
      </c>
      <c r="M42" s="1">
        <f t="shared" si="1"/>
        <v>626.49</v>
      </c>
      <c r="N42" s="1">
        <f t="shared" si="2"/>
        <v>493.916058</v>
      </c>
      <c r="O42" s="1">
        <f t="shared" si="3"/>
        <v>12.59989944</v>
      </c>
      <c r="P42" s="1">
        <f t="shared" si="4"/>
        <v>36.25971061</v>
      </c>
      <c r="Q42" s="1">
        <f t="shared" si="5"/>
        <v>48.14961572</v>
      </c>
      <c r="R42" s="1">
        <f t="shared" si="6"/>
        <v>12.31990167</v>
      </c>
      <c r="S42" s="1">
        <f t="shared" si="7"/>
        <v>6.019951955</v>
      </c>
      <c r="T42" s="1">
        <f t="shared" si="8"/>
        <v>17.21986257</v>
      </c>
      <c r="U42" s="1">
        <f t="shared" si="9"/>
        <v>626.485</v>
      </c>
    </row>
    <row r="43" ht="14.25" customHeight="1">
      <c r="A43" s="1">
        <v>2024.0</v>
      </c>
      <c r="B43" s="1">
        <v>2.0</v>
      </c>
      <c r="C43" s="1" t="s">
        <v>6</v>
      </c>
      <c r="D43" s="1" t="s">
        <v>40</v>
      </c>
      <c r="E43" s="1">
        <v>371.0</v>
      </c>
      <c r="F43" s="1">
        <v>10.0</v>
      </c>
      <c r="G43" s="1">
        <v>10.0</v>
      </c>
      <c r="H43" s="1">
        <v>85.0</v>
      </c>
      <c r="I43" s="1">
        <v>10.0</v>
      </c>
      <c r="J43" s="1">
        <v>20.0</v>
      </c>
      <c r="K43" s="1">
        <v>24.0</v>
      </c>
      <c r="L43" s="4">
        <v>538.956</v>
      </c>
      <c r="M43" s="1">
        <f t="shared" si="1"/>
        <v>530</v>
      </c>
      <c r="N43" s="1">
        <f t="shared" si="2"/>
        <v>377.2692</v>
      </c>
      <c r="O43" s="1">
        <f t="shared" si="3"/>
        <v>10.16898113</v>
      </c>
      <c r="P43" s="1">
        <f t="shared" si="4"/>
        <v>10.16898113</v>
      </c>
      <c r="Q43" s="1">
        <f t="shared" si="5"/>
        <v>86.43633962</v>
      </c>
      <c r="R43" s="1">
        <f t="shared" si="6"/>
        <v>10.16898113</v>
      </c>
      <c r="S43" s="1">
        <f t="shared" si="7"/>
        <v>20.33796226</v>
      </c>
      <c r="T43" s="1">
        <f t="shared" si="8"/>
        <v>24.40555472</v>
      </c>
      <c r="U43" s="1">
        <f t="shared" si="9"/>
        <v>538.956</v>
      </c>
    </row>
    <row r="44" ht="14.25" customHeight="1">
      <c r="A44" s="1">
        <v>2024.0</v>
      </c>
      <c r="B44" s="1">
        <v>2.0</v>
      </c>
      <c r="C44" s="1" t="s">
        <v>6</v>
      </c>
      <c r="D44" s="1" t="s">
        <v>41</v>
      </c>
      <c r="E44" s="1">
        <v>281.41</v>
      </c>
      <c r="F44" s="1">
        <v>10.92</v>
      </c>
      <c r="G44" s="1">
        <v>11.14</v>
      </c>
      <c r="H44" s="1">
        <v>13.29</v>
      </c>
      <c r="I44" s="1">
        <v>48.16</v>
      </c>
      <c r="J44" s="1">
        <v>40.98</v>
      </c>
      <c r="K44" s="1">
        <v>11.5875</v>
      </c>
      <c r="L44" s="4">
        <v>405.899</v>
      </c>
      <c r="M44" s="1">
        <f t="shared" si="1"/>
        <v>417.4875</v>
      </c>
      <c r="N44" s="1">
        <f t="shared" si="2"/>
        <v>273.5987008</v>
      </c>
      <c r="O44" s="1">
        <f t="shared" si="3"/>
        <v>10.61688573</v>
      </c>
      <c r="P44" s="1">
        <f t="shared" si="4"/>
        <v>10.83077903</v>
      </c>
      <c r="Q44" s="1">
        <f t="shared" si="5"/>
        <v>12.92109994</v>
      </c>
      <c r="R44" s="1">
        <f t="shared" si="6"/>
        <v>46.82318833</v>
      </c>
      <c r="S44" s="1">
        <f t="shared" si="7"/>
        <v>39.84248875</v>
      </c>
      <c r="T44" s="1">
        <f t="shared" si="8"/>
        <v>11.26585745</v>
      </c>
      <c r="U44" s="1">
        <f t="shared" si="9"/>
        <v>405.899</v>
      </c>
    </row>
    <row r="45" ht="14.25" customHeight="1">
      <c r="A45" s="1">
        <v>2024.0</v>
      </c>
      <c r="B45" s="1">
        <v>2.0</v>
      </c>
      <c r="C45" s="1" t="s">
        <v>6</v>
      </c>
      <c r="D45" s="1" t="s">
        <v>42</v>
      </c>
      <c r="E45" s="1">
        <v>252.82</v>
      </c>
      <c r="F45" s="1">
        <v>19.31</v>
      </c>
      <c r="G45" s="1">
        <v>25.46</v>
      </c>
      <c r="H45" s="1">
        <v>63.2</v>
      </c>
      <c r="I45" s="1">
        <v>42.14</v>
      </c>
      <c r="J45" s="1">
        <v>2.2</v>
      </c>
      <c r="K45" s="1">
        <v>16.23</v>
      </c>
      <c r="L45" s="4">
        <v>437.2184</v>
      </c>
      <c r="M45" s="1">
        <f t="shared" si="1"/>
        <v>421.36</v>
      </c>
      <c r="N45" s="1">
        <f t="shared" si="2"/>
        <v>262.3351905</v>
      </c>
      <c r="O45" s="1">
        <f t="shared" si="3"/>
        <v>20.03675552</v>
      </c>
      <c r="P45" s="1">
        <f t="shared" si="4"/>
        <v>26.4182183</v>
      </c>
      <c r="Q45" s="1">
        <f t="shared" si="5"/>
        <v>65.57860946</v>
      </c>
      <c r="R45" s="1">
        <f t="shared" si="6"/>
        <v>43.72599054</v>
      </c>
      <c r="S45" s="1">
        <f t="shared" si="7"/>
        <v>2.282799696</v>
      </c>
      <c r="T45" s="1">
        <f t="shared" si="8"/>
        <v>16.84083594</v>
      </c>
      <c r="U45" s="1">
        <f t="shared" si="9"/>
        <v>437.2184</v>
      </c>
    </row>
    <row r="46" ht="14.25" customHeight="1">
      <c r="A46" s="1">
        <v>2024.0</v>
      </c>
      <c r="B46" s="1">
        <v>2.0</v>
      </c>
      <c r="C46" s="1" t="s">
        <v>6</v>
      </c>
      <c r="D46" s="1" t="s">
        <v>43</v>
      </c>
      <c r="E46" s="1">
        <v>204.74</v>
      </c>
      <c r="F46" s="1">
        <v>56.37</v>
      </c>
      <c r="G46" s="1">
        <v>60.44</v>
      </c>
      <c r="H46" s="1">
        <v>27.6</v>
      </c>
      <c r="I46" s="1">
        <v>15.31</v>
      </c>
      <c r="J46" s="1">
        <v>3.06</v>
      </c>
      <c r="K46" s="1">
        <v>35.42</v>
      </c>
      <c r="L46" s="4">
        <v>402.9536</v>
      </c>
      <c r="M46" s="1">
        <f t="shared" si="1"/>
        <v>402.94</v>
      </c>
      <c r="N46" s="1">
        <f t="shared" si="2"/>
        <v>204.7469104</v>
      </c>
      <c r="O46" s="1">
        <f t="shared" si="3"/>
        <v>56.3719026</v>
      </c>
      <c r="P46" s="1">
        <f t="shared" si="4"/>
        <v>60.44203997</v>
      </c>
      <c r="Q46" s="1">
        <f t="shared" si="5"/>
        <v>27.60093155</v>
      </c>
      <c r="R46" s="1">
        <f t="shared" si="6"/>
        <v>15.31051674</v>
      </c>
      <c r="S46" s="1">
        <f t="shared" si="7"/>
        <v>3.060103281</v>
      </c>
      <c r="T46" s="1">
        <f t="shared" si="8"/>
        <v>35.42119549</v>
      </c>
      <c r="U46" s="1">
        <f t="shared" si="9"/>
        <v>402.9536</v>
      </c>
    </row>
    <row r="47" ht="14.25" customHeight="1">
      <c r="A47" s="1">
        <v>2024.0</v>
      </c>
      <c r="B47" s="1">
        <v>2.0</v>
      </c>
      <c r="C47" s="1" t="s">
        <v>6</v>
      </c>
      <c r="D47" s="1" t="s">
        <v>44</v>
      </c>
      <c r="E47" s="1">
        <v>36.0</v>
      </c>
      <c r="F47" s="1">
        <v>11.0</v>
      </c>
      <c r="G47" s="1">
        <v>8.0</v>
      </c>
      <c r="H47" s="1">
        <v>24.0</v>
      </c>
      <c r="I47" s="1">
        <v>7.0</v>
      </c>
      <c r="J47" s="1">
        <v>2.0</v>
      </c>
      <c r="K47" s="1">
        <v>12.0</v>
      </c>
      <c r="L47" s="4">
        <v>472.3228</v>
      </c>
      <c r="M47" s="1">
        <f t="shared" si="1"/>
        <v>100</v>
      </c>
      <c r="N47" s="1">
        <f t="shared" si="2"/>
        <v>170.036208</v>
      </c>
      <c r="O47" s="1">
        <f t="shared" si="3"/>
        <v>51.955508</v>
      </c>
      <c r="P47" s="1">
        <f t="shared" si="4"/>
        <v>37.785824</v>
      </c>
      <c r="Q47" s="1">
        <f t="shared" si="5"/>
        <v>113.357472</v>
      </c>
      <c r="R47" s="1">
        <f t="shared" si="6"/>
        <v>33.062596</v>
      </c>
      <c r="S47" s="1">
        <f t="shared" si="7"/>
        <v>9.446456</v>
      </c>
      <c r="T47" s="1">
        <f t="shared" si="8"/>
        <v>56.678736</v>
      </c>
      <c r="U47" s="1">
        <f t="shared" si="9"/>
        <v>472.3228</v>
      </c>
    </row>
    <row r="48" ht="14.25" customHeight="1">
      <c r="A48" s="1">
        <v>2024.0</v>
      </c>
      <c r="B48" s="1">
        <v>2.0</v>
      </c>
      <c r="C48" s="1" t="s">
        <v>6</v>
      </c>
      <c r="D48" s="1" t="s">
        <v>45</v>
      </c>
      <c r="E48" s="1">
        <v>196.545</v>
      </c>
      <c r="F48" s="1">
        <v>11.0</v>
      </c>
      <c r="G48" s="1">
        <v>11.715</v>
      </c>
      <c r="H48" s="1">
        <v>26.95</v>
      </c>
      <c r="I48" s="1">
        <v>10.0</v>
      </c>
      <c r="J48" s="1">
        <v>6.02</v>
      </c>
      <c r="K48" s="1">
        <v>11.76875</v>
      </c>
      <c r="L48" s="4">
        <v>661.944</v>
      </c>
      <c r="M48" s="1">
        <f t="shared" si="1"/>
        <v>273.99875</v>
      </c>
      <c r="N48" s="1">
        <f t="shared" si="2"/>
        <v>474.8261935</v>
      </c>
      <c r="O48" s="1">
        <f t="shared" si="3"/>
        <v>26.57451539</v>
      </c>
      <c r="P48" s="1">
        <f t="shared" si="4"/>
        <v>28.3018589</v>
      </c>
      <c r="Q48" s="1">
        <f t="shared" si="5"/>
        <v>65.10756272</v>
      </c>
      <c r="R48" s="1">
        <f t="shared" si="6"/>
        <v>24.15865036</v>
      </c>
      <c r="S48" s="1">
        <f t="shared" si="7"/>
        <v>14.54350752</v>
      </c>
      <c r="T48" s="1">
        <f t="shared" si="8"/>
        <v>28.43171164</v>
      </c>
      <c r="U48" s="1">
        <f t="shared" si="9"/>
        <v>661.944</v>
      </c>
    </row>
    <row r="49" ht="14.25" customHeight="1">
      <c r="A49" s="1">
        <v>2024.0</v>
      </c>
      <c r="B49" s="1">
        <v>2.0</v>
      </c>
      <c r="C49" s="1" t="s">
        <v>6</v>
      </c>
      <c r="D49" s="1" t="s">
        <v>46</v>
      </c>
      <c r="E49" s="1">
        <v>25.0</v>
      </c>
      <c r="F49" s="1">
        <v>3.0</v>
      </c>
      <c r="G49" s="1">
        <v>2.0</v>
      </c>
      <c r="H49" s="1">
        <v>45.0</v>
      </c>
      <c r="I49" s="1">
        <v>10.0</v>
      </c>
      <c r="J49" s="1">
        <v>6.0</v>
      </c>
      <c r="K49" s="1">
        <v>9.0</v>
      </c>
      <c r="L49" s="4">
        <v>1021.539</v>
      </c>
      <c r="M49" s="1">
        <f t="shared" si="1"/>
        <v>100</v>
      </c>
      <c r="N49" s="1">
        <f t="shared" si="2"/>
        <v>255.38475</v>
      </c>
      <c r="O49" s="1">
        <f t="shared" si="3"/>
        <v>30.64617</v>
      </c>
      <c r="P49" s="1">
        <f t="shared" si="4"/>
        <v>20.43078</v>
      </c>
      <c r="Q49" s="1">
        <f t="shared" si="5"/>
        <v>459.69255</v>
      </c>
      <c r="R49" s="1">
        <f t="shared" si="6"/>
        <v>102.1539</v>
      </c>
      <c r="S49" s="1">
        <f t="shared" si="7"/>
        <v>61.29234</v>
      </c>
      <c r="T49" s="1">
        <f t="shared" si="8"/>
        <v>91.93851</v>
      </c>
      <c r="U49" s="1">
        <f t="shared" si="9"/>
        <v>1021.539</v>
      </c>
    </row>
    <row r="50" ht="14.25" customHeight="1">
      <c r="A50" s="1">
        <v>2024.0</v>
      </c>
      <c r="B50" s="1">
        <v>2.0</v>
      </c>
      <c r="C50" s="1" t="s">
        <v>6</v>
      </c>
      <c r="D50" s="1" t="s">
        <v>47</v>
      </c>
      <c r="E50" s="1">
        <v>6.3</v>
      </c>
      <c r="F50" s="1">
        <v>7.51</v>
      </c>
      <c r="G50" s="1">
        <v>6.64</v>
      </c>
      <c r="H50" s="1">
        <v>11.15</v>
      </c>
      <c r="I50" s="1">
        <v>7.68</v>
      </c>
      <c r="J50" s="1">
        <v>14.03</v>
      </c>
      <c r="K50" s="1">
        <v>8.64</v>
      </c>
      <c r="L50" s="4">
        <v>80.8633</v>
      </c>
      <c r="M50" s="1">
        <f t="shared" si="1"/>
        <v>61.95</v>
      </c>
      <c r="N50" s="1">
        <f t="shared" si="2"/>
        <v>8.223386441</v>
      </c>
      <c r="O50" s="1">
        <f t="shared" si="3"/>
        <v>9.802798757</v>
      </c>
      <c r="P50" s="1">
        <f t="shared" si="4"/>
        <v>8.667188249</v>
      </c>
      <c r="Q50" s="1">
        <f t="shared" si="5"/>
        <v>14.5540887</v>
      </c>
      <c r="R50" s="1">
        <f t="shared" si="6"/>
        <v>10.02469966</v>
      </c>
      <c r="S50" s="1">
        <f t="shared" si="7"/>
        <v>18.31335107</v>
      </c>
      <c r="T50" s="1">
        <f t="shared" si="8"/>
        <v>11.27778712</v>
      </c>
      <c r="U50" s="1">
        <f t="shared" si="9"/>
        <v>80.8633</v>
      </c>
    </row>
    <row r="51" ht="14.25" customHeight="1">
      <c r="A51" s="1">
        <v>2024.0</v>
      </c>
      <c r="B51" s="1">
        <v>2.0</v>
      </c>
      <c r="C51" s="1" t="s">
        <v>6</v>
      </c>
      <c r="D51" s="1" t="s">
        <v>48</v>
      </c>
      <c r="E51" s="1">
        <v>148.51</v>
      </c>
      <c r="F51" s="1">
        <v>74.26</v>
      </c>
      <c r="G51" s="1">
        <v>74.26</v>
      </c>
      <c r="H51" s="1">
        <v>2.75</v>
      </c>
      <c r="I51" s="1">
        <v>3.44</v>
      </c>
      <c r="J51" s="1">
        <v>54.46</v>
      </c>
      <c r="K51" s="1">
        <v>0.13</v>
      </c>
      <c r="L51" s="4">
        <v>420.1669</v>
      </c>
      <c r="M51" s="1">
        <f t="shared" si="1"/>
        <v>357.81</v>
      </c>
      <c r="N51" s="1">
        <f t="shared" si="2"/>
        <v>174.3913986</v>
      </c>
      <c r="O51" s="1">
        <f t="shared" si="3"/>
        <v>87.20157065</v>
      </c>
      <c r="P51" s="1">
        <f t="shared" si="4"/>
        <v>87.20157065</v>
      </c>
      <c r="Q51" s="1">
        <f t="shared" si="5"/>
        <v>3.229252886</v>
      </c>
      <c r="R51" s="1">
        <f t="shared" si="6"/>
        <v>4.039501791</v>
      </c>
      <c r="S51" s="1">
        <f t="shared" si="7"/>
        <v>63.95094987</v>
      </c>
      <c r="T51" s="1">
        <f t="shared" si="8"/>
        <v>0.152655591</v>
      </c>
      <c r="U51" s="1">
        <f t="shared" si="9"/>
        <v>420.1669</v>
      </c>
    </row>
    <row r="52" ht="14.25" customHeight="1">
      <c r="A52" s="1">
        <v>2024.0</v>
      </c>
      <c r="B52" s="1">
        <v>2.0</v>
      </c>
      <c r="C52" s="1" t="s">
        <v>6</v>
      </c>
      <c r="D52" s="1" t="s">
        <v>49</v>
      </c>
      <c r="E52" s="1">
        <v>196.545</v>
      </c>
      <c r="F52" s="1">
        <v>11.0</v>
      </c>
      <c r="G52" s="1">
        <v>11.715</v>
      </c>
      <c r="H52" s="1">
        <v>26.95</v>
      </c>
      <c r="I52" s="1">
        <v>10.0</v>
      </c>
      <c r="J52" s="1">
        <v>6.02</v>
      </c>
      <c r="K52" s="1">
        <v>11.76875</v>
      </c>
      <c r="L52" s="4">
        <v>115.0558</v>
      </c>
      <c r="M52" s="1">
        <f t="shared" si="1"/>
        <v>273.99875</v>
      </c>
      <c r="N52" s="1">
        <f t="shared" si="2"/>
        <v>82.53191743</v>
      </c>
      <c r="O52" s="1">
        <f t="shared" si="3"/>
        <v>4.619049539</v>
      </c>
      <c r="P52" s="1">
        <f t="shared" si="4"/>
        <v>4.91928776</v>
      </c>
      <c r="Q52" s="1">
        <f t="shared" si="5"/>
        <v>11.31667137</v>
      </c>
      <c r="R52" s="1">
        <f t="shared" si="6"/>
        <v>4.199135945</v>
      </c>
      <c r="S52" s="1">
        <f t="shared" si="7"/>
        <v>2.527879839</v>
      </c>
      <c r="T52" s="1">
        <f t="shared" si="8"/>
        <v>4.941858115</v>
      </c>
      <c r="U52" s="1">
        <f t="shared" si="9"/>
        <v>115.0558</v>
      </c>
    </row>
    <row r="53" ht="14.25" customHeight="1">
      <c r="A53" s="1">
        <v>2024.0</v>
      </c>
      <c r="B53" s="1">
        <v>2.0</v>
      </c>
      <c r="C53" s="1" t="s">
        <v>6</v>
      </c>
      <c r="D53" s="1" t="s">
        <v>50</v>
      </c>
      <c r="E53" s="1">
        <v>72.0</v>
      </c>
      <c r="F53" s="1">
        <v>0.5</v>
      </c>
      <c r="G53" s="1">
        <v>8.0</v>
      </c>
      <c r="H53" s="1">
        <v>2.6</v>
      </c>
      <c r="I53" s="1">
        <v>9.0</v>
      </c>
      <c r="J53" s="1">
        <v>1.3</v>
      </c>
      <c r="K53" s="1">
        <v>6.6</v>
      </c>
      <c r="L53" s="4">
        <v>1189.71</v>
      </c>
      <c r="M53" s="1">
        <f t="shared" si="1"/>
        <v>100</v>
      </c>
      <c r="N53" s="1">
        <f t="shared" si="2"/>
        <v>856.5912</v>
      </c>
      <c r="O53" s="1">
        <f t="shared" si="3"/>
        <v>5.94855</v>
      </c>
      <c r="P53" s="1">
        <f t="shared" si="4"/>
        <v>95.1768</v>
      </c>
      <c r="Q53" s="1">
        <f t="shared" si="5"/>
        <v>30.93246</v>
      </c>
      <c r="R53" s="1">
        <f t="shared" si="6"/>
        <v>107.0739</v>
      </c>
      <c r="S53" s="1">
        <f t="shared" si="7"/>
        <v>15.46623</v>
      </c>
      <c r="T53" s="1">
        <f t="shared" si="8"/>
        <v>78.52086</v>
      </c>
      <c r="U53" s="1">
        <f t="shared" si="9"/>
        <v>1189.71</v>
      </c>
    </row>
    <row r="54" ht="14.25" customHeight="1">
      <c r="A54" s="1">
        <v>2025.0</v>
      </c>
      <c r="B54" s="1">
        <v>2.0</v>
      </c>
      <c r="C54" s="1" t="s">
        <v>6</v>
      </c>
      <c r="D54" s="1" t="s">
        <v>7</v>
      </c>
      <c r="E54" s="1">
        <v>381.0</v>
      </c>
      <c r="F54" s="1">
        <v>160.0</v>
      </c>
      <c r="G54" s="1">
        <v>36.0</v>
      </c>
      <c r="H54" s="1">
        <v>212.0</v>
      </c>
      <c r="I54" s="1">
        <v>13.0</v>
      </c>
      <c r="J54" s="1">
        <v>119.0</v>
      </c>
      <c r="K54" s="1">
        <v>67.0</v>
      </c>
      <c r="L54" s="4">
        <v>954.5386</v>
      </c>
      <c r="M54" s="1">
        <f t="shared" si="1"/>
        <v>988</v>
      </c>
      <c r="N54" s="1">
        <f t="shared" si="2"/>
        <v>368.096363</v>
      </c>
      <c r="O54" s="1">
        <f t="shared" si="3"/>
        <v>154.5811498</v>
      </c>
      <c r="P54" s="1">
        <f t="shared" si="4"/>
        <v>34.7807587</v>
      </c>
      <c r="Q54" s="1">
        <f t="shared" si="5"/>
        <v>204.8200235</v>
      </c>
      <c r="R54" s="1">
        <f t="shared" si="6"/>
        <v>12.55971842</v>
      </c>
      <c r="S54" s="1">
        <f t="shared" si="7"/>
        <v>114.9697302</v>
      </c>
      <c r="T54" s="1">
        <f t="shared" si="8"/>
        <v>64.73085648</v>
      </c>
      <c r="U54" s="1">
        <f t="shared" si="9"/>
        <v>954.5386</v>
      </c>
    </row>
    <row r="55" ht="14.25" customHeight="1">
      <c r="A55" s="1">
        <v>2025.0</v>
      </c>
      <c r="B55" s="1">
        <v>2.0</v>
      </c>
      <c r="C55" s="1" t="s">
        <v>6</v>
      </c>
      <c r="D55" s="1" t="s">
        <v>10</v>
      </c>
      <c r="E55" s="1">
        <v>65.0</v>
      </c>
      <c r="F55" s="1">
        <v>9.0</v>
      </c>
      <c r="G55" s="1">
        <v>4.0</v>
      </c>
      <c r="H55" s="1">
        <v>6.0</v>
      </c>
      <c r="I55" s="1">
        <v>10.0</v>
      </c>
      <c r="J55" s="1">
        <v>5.0</v>
      </c>
      <c r="K55" s="1">
        <v>4.0</v>
      </c>
      <c r="L55" s="4">
        <v>483.1886</v>
      </c>
      <c r="M55" s="1">
        <f t="shared" si="1"/>
        <v>103</v>
      </c>
      <c r="N55" s="1">
        <f t="shared" si="2"/>
        <v>304.9248447</v>
      </c>
      <c r="O55" s="1">
        <f t="shared" si="3"/>
        <v>42.22036311</v>
      </c>
      <c r="P55" s="1">
        <f t="shared" si="4"/>
        <v>18.76460583</v>
      </c>
      <c r="Q55" s="1">
        <f t="shared" si="5"/>
        <v>28.14690874</v>
      </c>
      <c r="R55" s="1">
        <f t="shared" si="6"/>
        <v>46.91151456</v>
      </c>
      <c r="S55" s="1">
        <f t="shared" si="7"/>
        <v>23.45575728</v>
      </c>
      <c r="T55" s="1">
        <f t="shared" si="8"/>
        <v>18.76460583</v>
      </c>
      <c r="U55" s="1">
        <f t="shared" si="9"/>
        <v>483.1886</v>
      </c>
    </row>
    <row r="56" ht="14.25" customHeight="1">
      <c r="A56" s="1">
        <v>2025.0</v>
      </c>
      <c r="B56" s="1">
        <v>2.0</v>
      </c>
      <c r="C56" s="1" t="s">
        <v>6</v>
      </c>
      <c r="D56" s="1" t="s">
        <v>15</v>
      </c>
      <c r="E56" s="1">
        <v>49.6</v>
      </c>
      <c r="F56" s="1">
        <v>0.89</v>
      </c>
      <c r="G56" s="1">
        <v>3.4</v>
      </c>
      <c r="H56" s="1">
        <v>10.33</v>
      </c>
      <c r="I56" s="1">
        <v>2.06</v>
      </c>
      <c r="J56" s="1">
        <v>0.89</v>
      </c>
      <c r="K56" s="1">
        <v>1.72</v>
      </c>
      <c r="L56" s="4">
        <v>321.734</v>
      </c>
      <c r="M56" s="1">
        <f t="shared" si="1"/>
        <v>68.89</v>
      </c>
      <c r="N56" s="1">
        <f t="shared" si="2"/>
        <v>231.6447438</v>
      </c>
      <c r="O56" s="1">
        <f t="shared" si="3"/>
        <v>4.156528669</v>
      </c>
      <c r="P56" s="1">
        <f t="shared" si="4"/>
        <v>15.87887357</v>
      </c>
      <c r="Q56" s="1">
        <f t="shared" si="5"/>
        <v>48.2437541</v>
      </c>
      <c r="R56" s="1">
        <f t="shared" si="6"/>
        <v>9.620729279</v>
      </c>
      <c r="S56" s="1">
        <f t="shared" si="7"/>
        <v>4.156528669</v>
      </c>
      <c r="T56" s="1">
        <f t="shared" si="8"/>
        <v>8.032841922</v>
      </c>
      <c r="U56" s="1">
        <f t="shared" si="9"/>
        <v>321.734</v>
      </c>
    </row>
    <row r="57" ht="14.25" customHeight="1">
      <c r="A57" s="1">
        <v>2025.0</v>
      </c>
      <c r="B57" s="1">
        <v>2.0</v>
      </c>
      <c r="C57" s="1" t="s">
        <v>6</v>
      </c>
      <c r="D57" s="1" t="s">
        <v>22</v>
      </c>
      <c r="E57" s="1">
        <v>315.985</v>
      </c>
      <c r="F57" s="1">
        <v>2.525</v>
      </c>
      <c r="G57" s="1">
        <v>10.0</v>
      </c>
      <c r="H57" s="1">
        <v>37.09</v>
      </c>
      <c r="I57" s="1">
        <v>6.0</v>
      </c>
      <c r="J57" s="1">
        <v>30.0</v>
      </c>
      <c r="K57" s="1">
        <v>5.0</v>
      </c>
      <c r="L57" s="4">
        <v>363.8656</v>
      </c>
      <c r="M57" s="1">
        <f t="shared" si="1"/>
        <v>406.6</v>
      </c>
      <c r="N57" s="1">
        <f t="shared" si="2"/>
        <v>282.7744014</v>
      </c>
      <c r="O57" s="1">
        <f t="shared" si="3"/>
        <v>2.259617905</v>
      </c>
      <c r="P57" s="1">
        <f t="shared" si="4"/>
        <v>8.9489818</v>
      </c>
      <c r="Q57" s="1">
        <f t="shared" si="5"/>
        <v>33.1917735</v>
      </c>
      <c r="R57" s="1">
        <f t="shared" si="6"/>
        <v>5.36938908</v>
      </c>
      <c r="S57" s="1">
        <f t="shared" si="7"/>
        <v>26.8469454</v>
      </c>
      <c r="T57" s="1">
        <f t="shared" si="8"/>
        <v>4.4744909</v>
      </c>
      <c r="U57" s="1">
        <f t="shared" si="9"/>
        <v>363.8656</v>
      </c>
    </row>
    <row r="58" ht="14.25" customHeight="1">
      <c r="A58" s="1">
        <v>2025.0</v>
      </c>
      <c r="B58" s="1">
        <v>2.0</v>
      </c>
      <c r="C58" s="1" t="s">
        <v>6</v>
      </c>
      <c r="D58" s="1" t="s">
        <v>26</v>
      </c>
      <c r="E58" s="1">
        <v>78.83</v>
      </c>
      <c r="F58" s="1">
        <v>2.01</v>
      </c>
      <c r="G58" s="1">
        <v>5.79</v>
      </c>
      <c r="H58" s="1">
        <v>7.69</v>
      </c>
      <c r="I58" s="1">
        <v>1.97</v>
      </c>
      <c r="J58" s="1">
        <v>0.96</v>
      </c>
      <c r="K58" s="1">
        <v>2.75</v>
      </c>
      <c r="L58" s="4">
        <v>662.378</v>
      </c>
      <c r="M58" s="1">
        <f t="shared" si="1"/>
        <v>100</v>
      </c>
      <c r="N58" s="1">
        <f t="shared" si="2"/>
        <v>522.1525774</v>
      </c>
      <c r="O58" s="1">
        <f t="shared" si="3"/>
        <v>13.3137978</v>
      </c>
      <c r="P58" s="1">
        <f t="shared" si="4"/>
        <v>38.3516862</v>
      </c>
      <c r="Q58" s="1">
        <f t="shared" si="5"/>
        <v>50.9368682</v>
      </c>
      <c r="R58" s="1">
        <f t="shared" si="6"/>
        <v>13.0488466</v>
      </c>
      <c r="S58" s="1">
        <f t="shared" si="7"/>
        <v>6.3588288</v>
      </c>
      <c r="T58" s="1">
        <f t="shared" si="8"/>
        <v>18.215395</v>
      </c>
      <c r="U58" s="1">
        <f t="shared" si="9"/>
        <v>662.378</v>
      </c>
    </row>
    <row r="59" ht="14.25" customHeight="1">
      <c r="A59" s="1">
        <v>2025.0</v>
      </c>
      <c r="B59" s="1">
        <v>2.0</v>
      </c>
      <c r="C59" s="1" t="s">
        <v>6</v>
      </c>
      <c r="D59" s="1" t="s">
        <v>29</v>
      </c>
      <c r="E59" s="1">
        <v>98.415</v>
      </c>
      <c r="F59" s="1">
        <v>32.095</v>
      </c>
      <c r="G59" s="1">
        <v>58.26</v>
      </c>
      <c r="H59" s="1">
        <v>65.61</v>
      </c>
      <c r="I59" s="1">
        <v>27.56</v>
      </c>
      <c r="J59" s="1">
        <v>4.465</v>
      </c>
      <c r="K59" s="1">
        <v>11.95</v>
      </c>
      <c r="L59" s="4">
        <v>296.9141</v>
      </c>
      <c r="M59" s="1">
        <f t="shared" si="1"/>
        <v>298.355</v>
      </c>
      <c r="N59" s="1">
        <f t="shared" si="2"/>
        <v>97.93970656</v>
      </c>
      <c r="O59" s="1">
        <f t="shared" si="3"/>
        <v>31.93999779</v>
      </c>
      <c r="P59" s="1">
        <f t="shared" si="4"/>
        <v>57.9786344</v>
      </c>
      <c r="Q59" s="1">
        <f t="shared" si="5"/>
        <v>65.29313771</v>
      </c>
      <c r="R59" s="1">
        <f t="shared" si="6"/>
        <v>27.42689949</v>
      </c>
      <c r="S59" s="1">
        <f t="shared" si="7"/>
        <v>4.443436364</v>
      </c>
      <c r="T59" s="1">
        <f t="shared" si="8"/>
        <v>11.89228769</v>
      </c>
      <c r="U59" s="1">
        <f t="shared" si="9"/>
        <v>296.9141</v>
      </c>
    </row>
    <row r="60" ht="14.25" customHeight="1">
      <c r="A60" s="1">
        <v>2025.0</v>
      </c>
      <c r="B60" s="1">
        <v>2.0</v>
      </c>
      <c r="C60" s="1" t="s">
        <v>6</v>
      </c>
      <c r="D60" s="1" t="s">
        <v>31</v>
      </c>
      <c r="E60" s="1">
        <v>353.55</v>
      </c>
      <c r="F60" s="1">
        <v>11.0</v>
      </c>
      <c r="G60" s="1">
        <v>2.2</v>
      </c>
      <c r="H60" s="1">
        <v>3.4</v>
      </c>
      <c r="I60" s="1">
        <v>10.0</v>
      </c>
      <c r="J60" s="1">
        <v>6.02</v>
      </c>
      <c r="K60" s="1">
        <v>6.4</v>
      </c>
      <c r="L60" s="4">
        <v>649.454</v>
      </c>
      <c r="M60" s="1">
        <f t="shared" si="1"/>
        <v>392.57</v>
      </c>
      <c r="N60" s="1">
        <f t="shared" si="2"/>
        <v>584.9006845</v>
      </c>
      <c r="O60" s="1">
        <f t="shared" si="3"/>
        <v>18.19801309</v>
      </c>
      <c r="P60" s="1">
        <f t="shared" si="4"/>
        <v>3.639602619</v>
      </c>
      <c r="Q60" s="1">
        <f t="shared" si="5"/>
        <v>5.624840411</v>
      </c>
      <c r="R60" s="1">
        <f t="shared" si="6"/>
        <v>16.54364827</v>
      </c>
      <c r="S60" s="1">
        <f t="shared" si="7"/>
        <v>9.959276256</v>
      </c>
      <c r="T60" s="1">
        <f t="shared" si="8"/>
        <v>10.58793489</v>
      </c>
      <c r="U60" s="1">
        <f t="shared" si="9"/>
        <v>649.454</v>
      </c>
    </row>
    <row r="61" ht="14.25" customHeight="1">
      <c r="A61" s="1">
        <v>2025.0</v>
      </c>
      <c r="B61" s="1">
        <v>2.0</v>
      </c>
      <c r="C61" s="1" t="s">
        <v>6</v>
      </c>
      <c r="D61" s="1" t="s">
        <v>32</v>
      </c>
      <c r="E61" s="1">
        <v>241.61</v>
      </c>
      <c r="F61" s="1">
        <v>30.41</v>
      </c>
      <c r="G61" s="1">
        <v>25.63</v>
      </c>
      <c r="H61" s="1">
        <v>17.07</v>
      </c>
      <c r="I61" s="1">
        <v>28.23</v>
      </c>
      <c r="J61" s="1">
        <v>7.49</v>
      </c>
      <c r="K61" s="1">
        <v>17.0</v>
      </c>
      <c r="L61" s="4">
        <v>364.698</v>
      </c>
      <c r="M61" s="1">
        <f t="shared" si="1"/>
        <v>367.44</v>
      </c>
      <c r="N61" s="1">
        <f t="shared" si="2"/>
        <v>239.8069992</v>
      </c>
      <c r="O61" s="1">
        <f t="shared" si="3"/>
        <v>30.18306711</v>
      </c>
      <c r="P61" s="1">
        <f t="shared" si="4"/>
        <v>25.43873759</v>
      </c>
      <c r="Q61" s="1">
        <f t="shared" si="5"/>
        <v>16.9426161</v>
      </c>
      <c r="R61" s="1">
        <f t="shared" si="6"/>
        <v>28.01933524</v>
      </c>
      <c r="S61" s="1">
        <f t="shared" si="7"/>
        <v>7.434106303</v>
      </c>
      <c r="T61" s="1">
        <f t="shared" si="8"/>
        <v>16.87313847</v>
      </c>
      <c r="U61" s="1">
        <f t="shared" si="9"/>
        <v>364.698</v>
      </c>
    </row>
    <row r="62" ht="14.25" customHeight="1">
      <c r="A62" s="1">
        <v>2025.0</v>
      </c>
      <c r="B62" s="1">
        <v>2.0</v>
      </c>
      <c r="C62" s="1" t="s">
        <v>6</v>
      </c>
      <c r="D62" s="1" t="s">
        <v>33</v>
      </c>
      <c r="E62" s="1">
        <v>156.78</v>
      </c>
      <c r="F62" s="1">
        <v>52.26</v>
      </c>
      <c r="G62" s="1">
        <v>13.94</v>
      </c>
      <c r="H62" s="1">
        <v>87.1</v>
      </c>
      <c r="I62" s="1">
        <v>20.9</v>
      </c>
      <c r="J62" s="1">
        <v>6.97</v>
      </c>
      <c r="K62" s="1">
        <v>10.45</v>
      </c>
      <c r="L62" s="4">
        <v>350.6822</v>
      </c>
      <c r="M62" s="1">
        <f t="shared" si="1"/>
        <v>348.4</v>
      </c>
      <c r="N62" s="1">
        <f t="shared" si="2"/>
        <v>157.80699</v>
      </c>
      <c r="O62" s="1">
        <f t="shared" si="3"/>
        <v>52.60233</v>
      </c>
      <c r="P62" s="1">
        <f t="shared" si="4"/>
        <v>14.0313142</v>
      </c>
      <c r="Q62" s="1">
        <f t="shared" si="5"/>
        <v>87.67055</v>
      </c>
      <c r="R62" s="1">
        <f t="shared" si="6"/>
        <v>21.0369058</v>
      </c>
      <c r="S62" s="1">
        <f t="shared" si="7"/>
        <v>7.015657101</v>
      </c>
      <c r="T62" s="1">
        <f t="shared" si="8"/>
        <v>10.5184529</v>
      </c>
      <c r="U62" s="1">
        <f t="shared" si="9"/>
        <v>350.6822</v>
      </c>
    </row>
    <row r="63" ht="14.25" customHeight="1">
      <c r="A63" s="1">
        <v>2025.0</v>
      </c>
      <c r="B63" s="1">
        <v>2.0</v>
      </c>
      <c r="C63" s="1" t="s">
        <v>6</v>
      </c>
      <c r="D63" s="1" t="s">
        <v>34</v>
      </c>
      <c r="E63" s="1">
        <v>238.52</v>
      </c>
      <c r="F63" s="1">
        <v>11.0</v>
      </c>
      <c r="G63" s="1">
        <v>11.16</v>
      </c>
      <c r="H63" s="1">
        <v>27.3</v>
      </c>
      <c r="I63" s="1">
        <v>10.0</v>
      </c>
      <c r="J63" s="1">
        <v>6.02</v>
      </c>
      <c r="K63" s="1">
        <v>11.76875</v>
      </c>
      <c r="L63" s="4">
        <v>380.3132</v>
      </c>
      <c r="M63" s="1">
        <f t="shared" si="1"/>
        <v>315.76875</v>
      </c>
      <c r="N63" s="1">
        <f t="shared" si="2"/>
        <v>287.2744832</v>
      </c>
      <c r="O63" s="1">
        <f t="shared" si="3"/>
        <v>13.2484459</v>
      </c>
      <c r="P63" s="1">
        <f t="shared" si="4"/>
        <v>13.44115056</v>
      </c>
      <c r="Q63" s="1">
        <f t="shared" si="5"/>
        <v>32.88023391</v>
      </c>
      <c r="R63" s="1">
        <f t="shared" si="6"/>
        <v>12.04404172</v>
      </c>
      <c r="S63" s="1">
        <f t="shared" si="7"/>
        <v>7.250513118</v>
      </c>
      <c r="T63" s="1">
        <f t="shared" si="8"/>
        <v>14.1743316</v>
      </c>
      <c r="U63" s="1">
        <f t="shared" si="9"/>
        <v>380.3132</v>
      </c>
    </row>
    <row r="64" ht="14.25" customHeight="1">
      <c r="A64" s="1">
        <v>2025.0</v>
      </c>
      <c r="B64" s="1">
        <v>2.0</v>
      </c>
      <c r="C64" s="1" t="s">
        <v>6</v>
      </c>
      <c r="D64" s="1" t="s">
        <v>35</v>
      </c>
      <c r="E64" s="1">
        <v>187.855</v>
      </c>
      <c r="F64" s="1">
        <v>40.115</v>
      </c>
      <c r="G64" s="1">
        <v>50.02</v>
      </c>
      <c r="H64" s="1">
        <v>148.39</v>
      </c>
      <c r="I64" s="1">
        <v>102.67</v>
      </c>
      <c r="J64" s="1">
        <v>3.76</v>
      </c>
      <c r="K64" s="1">
        <v>64.11</v>
      </c>
      <c r="L64" s="4">
        <v>595.3458</v>
      </c>
      <c r="M64" s="1">
        <f t="shared" si="1"/>
        <v>596.92</v>
      </c>
      <c r="N64" s="1">
        <f t="shared" si="2"/>
        <v>187.359588</v>
      </c>
      <c r="O64" s="1">
        <f t="shared" si="3"/>
        <v>40.00920855</v>
      </c>
      <c r="P64" s="1">
        <f t="shared" si="4"/>
        <v>49.88808704</v>
      </c>
      <c r="Q64" s="1">
        <f t="shared" si="5"/>
        <v>147.9986653</v>
      </c>
      <c r="R64" s="1">
        <f t="shared" si="6"/>
        <v>102.3992382</v>
      </c>
      <c r="S64" s="1">
        <f t="shared" si="7"/>
        <v>3.750084112</v>
      </c>
      <c r="T64" s="1">
        <f t="shared" si="8"/>
        <v>63.94092883</v>
      </c>
      <c r="U64" s="1">
        <f t="shared" si="9"/>
        <v>595.3458</v>
      </c>
    </row>
    <row r="65" ht="14.25" customHeight="1">
      <c r="A65" s="1">
        <v>2025.0</v>
      </c>
      <c r="B65" s="1">
        <v>2.0</v>
      </c>
      <c r="C65" s="1" t="s">
        <v>6</v>
      </c>
      <c r="D65" s="1" t="s">
        <v>36</v>
      </c>
      <c r="E65" s="1">
        <v>522.28</v>
      </c>
      <c r="F65" s="1">
        <v>20.6</v>
      </c>
      <c r="G65" s="1">
        <v>25.0</v>
      </c>
      <c r="H65" s="1">
        <v>27.3</v>
      </c>
      <c r="I65" s="1">
        <v>19.1</v>
      </c>
      <c r="J65" s="1">
        <v>18.08</v>
      </c>
      <c r="K65" s="1">
        <v>58.6</v>
      </c>
      <c r="L65" s="4">
        <v>687.925</v>
      </c>
      <c r="M65" s="1">
        <f t="shared" si="1"/>
        <v>690.96</v>
      </c>
      <c r="N65" s="1">
        <f t="shared" si="2"/>
        <v>519.9859167</v>
      </c>
      <c r="O65" s="1">
        <f t="shared" si="3"/>
        <v>20.50951575</v>
      </c>
      <c r="P65" s="1">
        <f t="shared" si="4"/>
        <v>24.89018901</v>
      </c>
      <c r="Q65" s="1">
        <f t="shared" si="5"/>
        <v>27.1800864</v>
      </c>
      <c r="R65" s="1">
        <f t="shared" si="6"/>
        <v>19.01610441</v>
      </c>
      <c r="S65" s="1">
        <f t="shared" si="7"/>
        <v>18.00058469</v>
      </c>
      <c r="T65" s="1">
        <f t="shared" si="8"/>
        <v>58.34260305</v>
      </c>
      <c r="U65" s="1">
        <f t="shared" si="9"/>
        <v>687.925</v>
      </c>
    </row>
    <row r="66" ht="14.25" customHeight="1">
      <c r="A66" s="1">
        <v>2025.0</v>
      </c>
      <c r="B66" s="1">
        <v>2.0</v>
      </c>
      <c r="C66" s="1" t="s">
        <v>6</v>
      </c>
      <c r="D66" s="1" t="s">
        <v>37</v>
      </c>
      <c r="E66" s="1">
        <v>238.52</v>
      </c>
      <c r="F66" s="1">
        <v>14.94</v>
      </c>
      <c r="G66" s="1">
        <v>25.95</v>
      </c>
      <c r="H66" s="1">
        <v>90.56</v>
      </c>
      <c r="I66" s="1">
        <v>30.85</v>
      </c>
      <c r="J66" s="1">
        <v>20.94</v>
      </c>
      <c r="K66" s="1">
        <v>14.82</v>
      </c>
      <c r="L66" s="4">
        <v>435.7845</v>
      </c>
      <c r="M66" s="1">
        <f t="shared" si="1"/>
        <v>436.58</v>
      </c>
      <c r="N66" s="1">
        <f t="shared" si="2"/>
        <v>238.0853886</v>
      </c>
      <c r="O66" s="1">
        <f t="shared" si="3"/>
        <v>14.91277757</v>
      </c>
      <c r="P66" s="1">
        <f t="shared" si="4"/>
        <v>25.90271605</v>
      </c>
      <c r="Q66" s="1">
        <f t="shared" si="5"/>
        <v>90.39498905</v>
      </c>
      <c r="R66" s="1">
        <f t="shared" si="6"/>
        <v>30.79378768</v>
      </c>
      <c r="S66" s="1">
        <f t="shared" si="7"/>
        <v>20.90184486</v>
      </c>
      <c r="T66" s="1">
        <f t="shared" si="8"/>
        <v>14.79299622</v>
      </c>
      <c r="U66" s="1">
        <f t="shared" si="9"/>
        <v>435.7845</v>
      </c>
    </row>
    <row r="67" ht="14.25" customHeight="1">
      <c r="A67" s="1">
        <v>2025.0</v>
      </c>
      <c r="B67" s="1">
        <v>2.0</v>
      </c>
      <c r="C67" s="1" t="s">
        <v>6</v>
      </c>
      <c r="D67" s="1" t="s">
        <v>38</v>
      </c>
      <c r="E67" s="1">
        <v>425.46</v>
      </c>
      <c r="F67" s="1">
        <v>3.68</v>
      </c>
      <c r="G67" s="1">
        <v>1.93</v>
      </c>
      <c r="H67" s="1">
        <v>9.21</v>
      </c>
      <c r="I67" s="1">
        <v>1.1</v>
      </c>
      <c r="J67" s="1">
        <v>12.7</v>
      </c>
      <c r="K67" s="1">
        <v>6.5</v>
      </c>
      <c r="L67" s="4">
        <v>423.4836</v>
      </c>
      <c r="M67" s="1">
        <f t="shared" si="1"/>
        <v>460.58</v>
      </c>
      <c r="N67" s="1">
        <f t="shared" si="2"/>
        <v>391.1922629</v>
      </c>
      <c r="O67" s="1">
        <f t="shared" si="3"/>
        <v>3.383602519</v>
      </c>
      <c r="P67" s="1">
        <f t="shared" si="4"/>
        <v>1.774552408</v>
      </c>
      <c r="Q67" s="1">
        <f t="shared" si="5"/>
        <v>8.468200868</v>
      </c>
      <c r="R67" s="1">
        <f t="shared" si="6"/>
        <v>1.011402927</v>
      </c>
      <c r="S67" s="1">
        <f t="shared" si="7"/>
        <v>11.67710652</v>
      </c>
      <c r="T67" s="1">
        <f t="shared" si="8"/>
        <v>5.97647184</v>
      </c>
      <c r="U67" s="1">
        <f t="shared" si="9"/>
        <v>423.4836</v>
      </c>
    </row>
    <row r="68" ht="14.25" customHeight="1">
      <c r="A68" s="1">
        <v>2025.0</v>
      </c>
      <c r="B68" s="1">
        <v>2.0</v>
      </c>
      <c r="C68" s="1" t="s">
        <v>6</v>
      </c>
      <c r="D68" s="1" t="s">
        <v>39</v>
      </c>
      <c r="E68" s="1">
        <v>495.26</v>
      </c>
      <c r="F68" s="1">
        <v>13.04</v>
      </c>
      <c r="G68" s="1">
        <v>37.13</v>
      </c>
      <c r="H68" s="1">
        <v>49.47</v>
      </c>
      <c r="I68" s="1">
        <v>13.17</v>
      </c>
      <c r="J68" s="1">
        <v>5.16</v>
      </c>
      <c r="K68" s="1">
        <v>19.38</v>
      </c>
      <c r="L68" s="4">
        <v>733.9302</v>
      </c>
      <c r="M68" s="1">
        <f t="shared" si="1"/>
        <v>632.61</v>
      </c>
      <c r="N68" s="1">
        <f t="shared" si="2"/>
        <v>574.5819239</v>
      </c>
      <c r="O68" s="1">
        <f t="shared" si="3"/>
        <v>15.1285149</v>
      </c>
      <c r="P68" s="1">
        <f t="shared" si="4"/>
        <v>43.07682194</v>
      </c>
      <c r="Q68" s="1">
        <f t="shared" si="5"/>
        <v>57.3932233</v>
      </c>
      <c r="R68" s="1">
        <f t="shared" si="6"/>
        <v>15.27933598</v>
      </c>
      <c r="S68" s="1">
        <f t="shared" si="7"/>
        <v>5.986436876</v>
      </c>
      <c r="T68" s="1">
        <f t="shared" si="8"/>
        <v>22.48394315</v>
      </c>
      <c r="U68" s="1">
        <f t="shared" si="9"/>
        <v>733.9302</v>
      </c>
    </row>
    <row r="69" ht="14.25" customHeight="1">
      <c r="A69" s="1">
        <v>2025.0</v>
      </c>
      <c r="B69" s="1">
        <v>2.0</v>
      </c>
      <c r="C69" s="1" t="s">
        <v>6</v>
      </c>
      <c r="D69" s="1" t="s">
        <v>40</v>
      </c>
      <c r="E69" s="1">
        <v>385.0</v>
      </c>
      <c r="F69" s="1">
        <v>10.0</v>
      </c>
      <c r="G69" s="1">
        <v>10.0</v>
      </c>
      <c r="H69" s="1">
        <v>85.0</v>
      </c>
      <c r="I69" s="1">
        <v>10.0</v>
      </c>
      <c r="J69" s="1">
        <v>20.0</v>
      </c>
      <c r="K69" s="1">
        <v>24.0</v>
      </c>
      <c r="L69" s="4">
        <v>533.156</v>
      </c>
      <c r="M69" s="1">
        <f t="shared" si="1"/>
        <v>544</v>
      </c>
      <c r="N69" s="1">
        <f t="shared" si="2"/>
        <v>377.3254779</v>
      </c>
      <c r="O69" s="1">
        <f t="shared" si="3"/>
        <v>9.800661765</v>
      </c>
      <c r="P69" s="1">
        <f t="shared" si="4"/>
        <v>9.800661765</v>
      </c>
      <c r="Q69" s="1">
        <f t="shared" si="5"/>
        <v>83.305625</v>
      </c>
      <c r="R69" s="1">
        <f t="shared" si="6"/>
        <v>9.800661765</v>
      </c>
      <c r="S69" s="1">
        <f t="shared" si="7"/>
        <v>19.60132353</v>
      </c>
      <c r="T69" s="1">
        <f t="shared" si="8"/>
        <v>23.52158824</v>
      </c>
      <c r="U69" s="1">
        <f t="shared" si="9"/>
        <v>533.156</v>
      </c>
    </row>
    <row r="70" ht="14.25" customHeight="1">
      <c r="A70" s="1">
        <v>2025.0</v>
      </c>
      <c r="B70" s="1">
        <v>2.0</v>
      </c>
      <c r="C70" s="1" t="s">
        <v>6</v>
      </c>
      <c r="D70" s="1" t="s">
        <v>41</v>
      </c>
      <c r="E70" s="1">
        <v>287.08</v>
      </c>
      <c r="F70" s="1">
        <v>11.07</v>
      </c>
      <c r="G70" s="1">
        <v>11.16</v>
      </c>
      <c r="H70" s="1">
        <v>13.28</v>
      </c>
      <c r="I70" s="1">
        <v>48.25</v>
      </c>
      <c r="J70" s="1">
        <v>40.3</v>
      </c>
      <c r="K70" s="1">
        <v>11.5875</v>
      </c>
      <c r="L70" s="4">
        <v>403.72</v>
      </c>
      <c r="M70" s="1">
        <f t="shared" si="1"/>
        <v>422.7275</v>
      </c>
      <c r="N70" s="1">
        <f t="shared" si="2"/>
        <v>274.171748</v>
      </c>
      <c r="O70" s="1">
        <f t="shared" si="3"/>
        <v>10.57224903</v>
      </c>
      <c r="P70" s="1">
        <f t="shared" si="4"/>
        <v>10.65820227</v>
      </c>
      <c r="Q70" s="1">
        <f t="shared" si="5"/>
        <v>12.68287869</v>
      </c>
      <c r="R70" s="1">
        <f t="shared" si="6"/>
        <v>46.0804892</v>
      </c>
      <c r="S70" s="1">
        <f t="shared" si="7"/>
        <v>38.48795264</v>
      </c>
      <c r="T70" s="1">
        <f t="shared" si="8"/>
        <v>11.06648018</v>
      </c>
      <c r="U70" s="1">
        <f t="shared" si="9"/>
        <v>403.72</v>
      </c>
    </row>
    <row r="71" ht="14.25" customHeight="1">
      <c r="A71" s="1">
        <v>2025.0</v>
      </c>
      <c r="B71" s="1">
        <v>2.0</v>
      </c>
      <c r="C71" s="1" t="s">
        <v>6</v>
      </c>
      <c r="D71" s="1" t="s">
        <v>42</v>
      </c>
      <c r="E71" s="1">
        <v>252.82</v>
      </c>
      <c r="F71" s="1">
        <v>19.31</v>
      </c>
      <c r="G71" s="1">
        <v>25.46</v>
      </c>
      <c r="H71" s="1">
        <v>63.2</v>
      </c>
      <c r="I71" s="1">
        <v>42.14</v>
      </c>
      <c r="J71" s="1">
        <v>2.2</v>
      </c>
      <c r="K71" s="1">
        <v>16.23</v>
      </c>
      <c r="L71" s="4">
        <v>421.36</v>
      </c>
      <c r="M71" s="1">
        <f t="shared" si="1"/>
        <v>421.36</v>
      </c>
      <c r="N71" s="1">
        <f t="shared" si="2"/>
        <v>252.82</v>
      </c>
      <c r="O71" s="1">
        <f t="shared" si="3"/>
        <v>19.31</v>
      </c>
      <c r="P71" s="1">
        <f t="shared" si="4"/>
        <v>25.46</v>
      </c>
      <c r="Q71" s="1">
        <f t="shared" si="5"/>
        <v>63.2</v>
      </c>
      <c r="R71" s="1">
        <f t="shared" si="6"/>
        <v>42.14</v>
      </c>
      <c r="S71" s="1">
        <f t="shared" si="7"/>
        <v>2.2</v>
      </c>
      <c r="T71" s="1">
        <f t="shared" si="8"/>
        <v>16.23</v>
      </c>
      <c r="U71" s="1">
        <f t="shared" si="9"/>
        <v>421.36</v>
      </c>
    </row>
    <row r="72" ht="14.25" customHeight="1">
      <c r="A72" s="1">
        <v>2025.0</v>
      </c>
      <c r="B72" s="1">
        <v>2.0</v>
      </c>
      <c r="C72" s="1" t="s">
        <v>6</v>
      </c>
      <c r="D72" s="1" t="s">
        <v>43</v>
      </c>
      <c r="E72" s="1">
        <v>260.05</v>
      </c>
      <c r="F72" s="1">
        <v>17.53</v>
      </c>
      <c r="G72" s="1">
        <v>22.01</v>
      </c>
      <c r="H72" s="1">
        <v>49.32</v>
      </c>
      <c r="I72" s="1">
        <v>34.24</v>
      </c>
      <c r="J72" s="1">
        <v>4.48</v>
      </c>
      <c r="K72" s="1">
        <v>19.97</v>
      </c>
      <c r="L72" s="4">
        <v>394.582</v>
      </c>
      <c r="M72" s="1">
        <f t="shared" si="1"/>
        <v>407.6</v>
      </c>
      <c r="N72" s="1">
        <f t="shared" si="2"/>
        <v>251.7444777</v>
      </c>
      <c r="O72" s="1">
        <f t="shared" si="3"/>
        <v>16.9701238</v>
      </c>
      <c r="P72" s="1">
        <f t="shared" si="4"/>
        <v>21.30704078</v>
      </c>
      <c r="Q72" s="1">
        <f t="shared" si="5"/>
        <v>47.74480922</v>
      </c>
      <c r="R72" s="1">
        <f t="shared" si="6"/>
        <v>33.1464369</v>
      </c>
      <c r="S72" s="1">
        <f t="shared" si="7"/>
        <v>4.336916977</v>
      </c>
      <c r="T72" s="1">
        <f t="shared" si="8"/>
        <v>19.33219465</v>
      </c>
      <c r="U72" s="1">
        <f t="shared" si="9"/>
        <v>394.582</v>
      </c>
    </row>
    <row r="73" ht="14.25" customHeight="1">
      <c r="A73" s="1">
        <v>2025.0</v>
      </c>
      <c r="B73" s="1">
        <v>2.0</v>
      </c>
      <c r="C73" s="1" t="s">
        <v>6</v>
      </c>
      <c r="D73" s="1" t="s">
        <v>44</v>
      </c>
      <c r="E73" s="1">
        <v>36.0</v>
      </c>
      <c r="F73" s="1">
        <v>11.0</v>
      </c>
      <c r="G73" s="1">
        <v>8.0</v>
      </c>
      <c r="H73" s="1">
        <v>24.0</v>
      </c>
      <c r="I73" s="1">
        <v>7.0</v>
      </c>
      <c r="J73" s="1">
        <v>2.0</v>
      </c>
      <c r="K73" s="1">
        <v>12.0</v>
      </c>
      <c r="L73" s="4">
        <v>600.3016</v>
      </c>
      <c r="M73" s="1">
        <f t="shared" si="1"/>
        <v>100</v>
      </c>
      <c r="N73" s="1">
        <f t="shared" si="2"/>
        <v>216.108576</v>
      </c>
      <c r="O73" s="1">
        <f t="shared" si="3"/>
        <v>66.033176</v>
      </c>
      <c r="P73" s="1">
        <f t="shared" si="4"/>
        <v>48.024128</v>
      </c>
      <c r="Q73" s="1">
        <f t="shared" si="5"/>
        <v>144.072384</v>
      </c>
      <c r="R73" s="1">
        <f t="shared" si="6"/>
        <v>42.021112</v>
      </c>
      <c r="S73" s="1">
        <f t="shared" si="7"/>
        <v>12.006032</v>
      </c>
      <c r="T73" s="1">
        <f t="shared" si="8"/>
        <v>72.036192</v>
      </c>
      <c r="U73" s="1">
        <f t="shared" si="9"/>
        <v>600.3016</v>
      </c>
    </row>
    <row r="74" ht="14.25" customHeight="1">
      <c r="A74" s="1">
        <v>2025.0</v>
      </c>
      <c r="B74" s="1">
        <v>2.0</v>
      </c>
      <c r="C74" s="1" t="s">
        <v>6</v>
      </c>
      <c r="D74" s="1" t="s">
        <v>45</v>
      </c>
      <c r="E74" s="1">
        <v>196.545</v>
      </c>
      <c r="F74" s="1">
        <v>11.0</v>
      </c>
      <c r="G74" s="1">
        <v>11.715</v>
      </c>
      <c r="H74" s="1">
        <v>26.95</v>
      </c>
      <c r="I74" s="1">
        <v>10.0</v>
      </c>
      <c r="J74" s="1">
        <v>6.02</v>
      </c>
      <c r="K74" s="1">
        <v>11.76875</v>
      </c>
      <c r="L74" s="4">
        <v>604.0923</v>
      </c>
      <c r="M74" s="1">
        <f t="shared" si="1"/>
        <v>273.99875</v>
      </c>
      <c r="N74" s="1">
        <f t="shared" si="2"/>
        <v>433.3279663</v>
      </c>
      <c r="O74" s="1">
        <f t="shared" si="3"/>
        <v>24.2519913</v>
      </c>
      <c r="P74" s="1">
        <f t="shared" si="4"/>
        <v>25.82837073</v>
      </c>
      <c r="Q74" s="1">
        <f t="shared" si="5"/>
        <v>59.41737867</v>
      </c>
      <c r="R74" s="1">
        <f t="shared" si="6"/>
        <v>22.04726481</v>
      </c>
      <c r="S74" s="1">
        <f t="shared" si="7"/>
        <v>13.27245342</v>
      </c>
      <c r="T74" s="1">
        <f t="shared" si="8"/>
        <v>25.94687478</v>
      </c>
      <c r="U74" s="1">
        <f t="shared" si="9"/>
        <v>604.0923</v>
      </c>
    </row>
    <row r="75" ht="14.25" customHeight="1">
      <c r="A75" s="1">
        <v>2025.0</v>
      </c>
      <c r="B75" s="1">
        <v>2.0</v>
      </c>
      <c r="C75" s="1" t="s">
        <v>6</v>
      </c>
      <c r="D75" s="1" t="s">
        <v>46</v>
      </c>
      <c r="E75" s="1">
        <v>25.0</v>
      </c>
      <c r="F75" s="1">
        <v>3.0</v>
      </c>
      <c r="G75" s="1">
        <v>2.0</v>
      </c>
      <c r="H75" s="1">
        <v>45.0</v>
      </c>
      <c r="I75" s="1">
        <v>10.0</v>
      </c>
      <c r="J75" s="1">
        <v>6.0</v>
      </c>
      <c r="K75" s="1">
        <v>9.0</v>
      </c>
      <c r="L75" s="4">
        <v>1005.309</v>
      </c>
      <c r="M75" s="1">
        <f t="shared" si="1"/>
        <v>100</v>
      </c>
      <c r="N75" s="1">
        <f t="shared" si="2"/>
        <v>251.32725</v>
      </c>
      <c r="O75" s="1">
        <f t="shared" si="3"/>
        <v>30.15927</v>
      </c>
      <c r="P75" s="1">
        <f t="shared" si="4"/>
        <v>20.10618</v>
      </c>
      <c r="Q75" s="1">
        <f t="shared" si="5"/>
        <v>452.38905</v>
      </c>
      <c r="R75" s="1">
        <f t="shared" si="6"/>
        <v>100.5309</v>
      </c>
      <c r="S75" s="1">
        <f t="shared" si="7"/>
        <v>60.31854</v>
      </c>
      <c r="T75" s="1">
        <f t="shared" si="8"/>
        <v>90.47781</v>
      </c>
      <c r="U75" s="1">
        <f t="shared" si="9"/>
        <v>1005.309</v>
      </c>
    </row>
    <row r="76" ht="14.25" customHeight="1">
      <c r="A76" s="1">
        <v>2025.0</v>
      </c>
      <c r="B76" s="1">
        <v>2.0</v>
      </c>
      <c r="C76" s="1" t="s">
        <v>6</v>
      </c>
      <c r="D76" s="1" t="s">
        <v>47</v>
      </c>
      <c r="E76" s="1">
        <v>4.195</v>
      </c>
      <c r="F76" s="1">
        <v>4.33</v>
      </c>
      <c r="G76" s="1">
        <v>9.455</v>
      </c>
      <c r="H76" s="1">
        <v>7.68</v>
      </c>
      <c r="I76" s="1">
        <v>4.27</v>
      </c>
      <c r="J76" s="1">
        <v>14.985</v>
      </c>
      <c r="K76" s="1">
        <v>11.475</v>
      </c>
      <c r="L76" s="4">
        <v>80.5489</v>
      </c>
      <c r="M76" s="1">
        <f t="shared" si="1"/>
        <v>56.39</v>
      </c>
      <c r="N76" s="1">
        <f t="shared" si="2"/>
        <v>5.992243935</v>
      </c>
      <c r="O76" s="1">
        <f t="shared" si="3"/>
        <v>6.185081344</v>
      </c>
      <c r="P76" s="1">
        <f t="shared" si="4"/>
        <v>13.50576076</v>
      </c>
      <c r="Q76" s="1">
        <f t="shared" si="5"/>
        <v>10.97030594</v>
      </c>
      <c r="R76" s="1">
        <f t="shared" si="6"/>
        <v>6.099375829</v>
      </c>
      <c r="S76" s="1">
        <f t="shared" si="7"/>
        <v>21.40495241</v>
      </c>
      <c r="T76" s="1">
        <f t="shared" si="8"/>
        <v>16.39117977</v>
      </c>
      <c r="U76" s="1">
        <f t="shared" si="9"/>
        <v>80.5489</v>
      </c>
    </row>
    <row r="77" ht="14.25" customHeight="1">
      <c r="A77" s="1">
        <v>2025.0</v>
      </c>
      <c r="B77" s="1">
        <v>2.0</v>
      </c>
      <c r="C77" s="1" t="s">
        <v>6</v>
      </c>
      <c r="D77" s="1" t="s">
        <v>48</v>
      </c>
      <c r="E77" s="1">
        <v>266.44</v>
      </c>
      <c r="F77" s="1">
        <v>11.13</v>
      </c>
      <c r="G77" s="1">
        <v>1.26</v>
      </c>
      <c r="H77" s="1">
        <v>30.29</v>
      </c>
      <c r="I77" s="1">
        <v>15.61</v>
      </c>
      <c r="J77" s="1">
        <v>8.16</v>
      </c>
      <c r="K77" s="1">
        <v>0.13</v>
      </c>
      <c r="L77" s="4">
        <v>419.1087</v>
      </c>
      <c r="M77" s="1">
        <f t="shared" si="1"/>
        <v>333.02</v>
      </c>
      <c r="N77" s="1">
        <f t="shared" si="2"/>
        <v>335.3171642</v>
      </c>
      <c r="O77" s="1">
        <f t="shared" si="3"/>
        <v>14.00720627</v>
      </c>
      <c r="P77" s="1">
        <f t="shared" si="4"/>
        <v>1.585721464</v>
      </c>
      <c r="Q77" s="1">
        <f t="shared" si="5"/>
        <v>38.1202406</v>
      </c>
      <c r="R77" s="1">
        <f t="shared" si="6"/>
        <v>19.64532703</v>
      </c>
      <c r="S77" s="1">
        <f t="shared" si="7"/>
        <v>10.26943424</v>
      </c>
      <c r="T77" s="1">
        <f t="shared" si="8"/>
        <v>0.1636061828</v>
      </c>
      <c r="U77" s="1">
        <f t="shared" si="9"/>
        <v>419.1087</v>
      </c>
    </row>
    <row r="78" ht="14.25" customHeight="1">
      <c r="A78" s="1">
        <v>2025.0</v>
      </c>
      <c r="B78" s="1">
        <v>2.0</v>
      </c>
      <c r="C78" s="1" t="s">
        <v>6</v>
      </c>
      <c r="D78" s="1" t="s">
        <v>49</v>
      </c>
      <c r="E78" s="1">
        <v>196.545</v>
      </c>
      <c r="F78" s="1">
        <v>11.0</v>
      </c>
      <c r="G78" s="1">
        <v>11.715</v>
      </c>
      <c r="H78" s="1">
        <v>26.95</v>
      </c>
      <c r="I78" s="1">
        <v>10.0</v>
      </c>
      <c r="J78" s="1">
        <v>6.02</v>
      </c>
      <c r="K78" s="1">
        <v>11.76875</v>
      </c>
      <c r="L78" s="4">
        <v>116.428</v>
      </c>
      <c r="M78" s="1">
        <f t="shared" si="1"/>
        <v>273.99875</v>
      </c>
      <c r="N78" s="1">
        <f t="shared" si="2"/>
        <v>83.51622502</v>
      </c>
      <c r="O78" s="1">
        <f t="shared" si="3"/>
        <v>4.674138112</v>
      </c>
      <c r="P78" s="1">
        <f t="shared" si="4"/>
        <v>4.977957089</v>
      </c>
      <c r="Q78" s="1">
        <f t="shared" si="5"/>
        <v>11.45163837</v>
      </c>
      <c r="R78" s="1">
        <f t="shared" si="6"/>
        <v>4.249216465</v>
      </c>
      <c r="S78" s="1">
        <f t="shared" si="7"/>
        <v>2.558028312</v>
      </c>
      <c r="T78" s="1">
        <f t="shared" si="8"/>
        <v>5.000796628</v>
      </c>
      <c r="U78" s="1">
        <f t="shared" si="9"/>
        <v>116.428</v>
      </c>
    </row>
    <row r="79" ht="14.25" customHeight="1">
      <c r="A79" s="1">
        <v>2025.0</v>
      </c>
      <c r="B79" s="1">
        <v>2.0</v>
      </c>
      <c r="C79" s="1" t="s">
        <v>6</v>
      </c>
      <c r="D79" s="1" t="s">
        <v>50</v>
      </c>
      <c r="E79" s="1">
        <v>71.5</v>
      </c>
      <c r="F79" s="1">
        <v>0.6</v>
      </c>
      <c r="G79" s="1">
        <v>8.2</v>
      </c>
      <c r="H79" s="1">
        <v>2.8</v>
      </c>
      <c r="I79" s="1">
        <v>9.2</v>
      </c>
      <c r="J79" s="1">
        <v>1.3</v>
      </c>
      <c r="K79" s="1">
        <v>6.4</v>
      </c>
      <c r="L79" s="4">
        <v>1182.287</v>
      </c>
      <c r="M79" s="1">
        <f t="shared" si="1"/>
        <v>100</v>
      </c>
      <c r="N79" s="1">
        <f t="shared" si="2"/>
        <v>845.335205</v>
      </c>
      <c r="O79" s="1">
        <f t="shared" si="3"/>
        <v>7.093722</v>
      </c>
      <c r="P79" s="1">
        <f t="shared" si="4"/>
        <v>96.947534</v>
      </c>
      <c r="Q79" s="1">
        <f t="shared" si="5"/>
        <v>33.104036</v>
      </c>
      <c r="R79" s="1">
        <f t="shared" si="6"/>
        <v>108.770404</v>
      </c>
      <c r="S79" s="1">
        <f t="shared" si="7"/>
        <v>15.369731</v>
      </c>
      <c r="T79" s="1">
        <f t="shared" si="8"/>
        <v>75.666368</v>
      </c>
      <c r="U79" s="1">
        <f t="shared" si="9"/>
        <v>1182.287</v>
      </c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51</v>
      </c>
      <c r="B1" s="2" t="s">
        <v>52</v>
      </c>
      <c r="C1" s="2" t="s">
        <v>53</v>
      </c>
      <c r="D1" s="5"/>
      <c r="E1" s="5"/>
      <c r="F1" s="5"/>
      <c r="G1" s="5"/>
      <c r="H1" s="5"/>
    </row>
    <row r="2">
      <c r="A2" s="6">
        <v>2023.0</v>
      </c>
      <c r="B2" s="2" t="s">
        <v>54</v>
      </c>
      <c r="C2" s="4">
        <v>101816.53</v>
      </c>
    </row>
    <row r="3">
      <c r="A3" s="6">
        <v>2023.0</v>
      </c>
      <c r="B3" s="2" t="s">
        <v>55</v>
      </c>
      <c r="C3" s="4">
        <v>22630.06</v>
      </c>
    </row>
    <row r="4">
      <c r="A4" s="6">
        <v>2023.0</v>
      </c>
      <c r="B4" s="2" t="s">
        <v>56</v>
      </c>
      <c r="C4" s="4">
        <v>15025.64</v>
      </c>
    </row>
    <row r="5">
      <c r="A5" s="6">
        <v>2023.0</v>
      </c>
      <c r="B5" s="2" t="s">
        <v>57</v>
      </c>
      <c r="C5" s="4">
        <v>15405.03</v>
      </c>
    </row>
    <row r="6">
      <c r="A6" s="6">
        <v>2023.0</v>
      </c>
      <c r="B6" s="2" t="s">
        <v>58</v>
      </c>
      <c r="C6" s="4">
        <v>26207.91</v>
      </c>
    </row>
    <row r="7">
      <c r="A7" s="6">
        <v>2023.0</v>
      </c>
      <c r="B7" s="2" t="s">
        <v>59</v>
      </c>
      <c r="C7" s="4">
        <v>26326.85</v>
      </c>
    </row>
    <row r="8">
      <c r="A8" s="6">
        <v>2023.0</v>
      </c>
      <c r="B8" s="2" t="s">
        <v>60</v>
      </c>
      <c r="C8" s="4">
        <v>31930.3</v>
      </c>
    </row>
    <row r="9">
      <c r="A9" s="6">
        <v>2023.0</v>
      </c>
      <c r="B9" s="2" t="s">
        <v>61</v>
      </c>
      <c r="C9" s="7">
        <v>30657.93</v>
      </c>
    </row>
    <row r="10">
      <c r="A10" s="6">
        <v>2023.0</v>
      </c>
      <c r="B10" s="2" t="s">
        <v>62</v>
      </c>
      <c r="C10" s="7">
        <v>23568.41</v>
      </c>
    </row>
    <row r="11">
      <c r="A11" s="6">
        <v>2023.0</v>
      </c>
      <c r="B11" s="2" t="s">
        <v>63</v>
      </c>
      <c r="C11" s="7">
        <v>30198.24</v>
      </c>
    </row>
    <row r="12">
      <c r="A12" s="6">
        <v>2023.0</v>
      </c>
      <c r="B12" s="2" t="s">
        <v>64</v>
      </c>
      <c r="C12" s="7">
        <v>30438.34</v>
      </c>
    </row>
    <row r="13">
      <c r="A13" s="6">
        <v>2023.0</v>
      </c>
      <c r="B13" s="2" t="s">
        <v>65</v>
      </c>
      <c r="C13" s="7">
        <v>34980.11</v>
      </c>
    </row>
    <row r="14">
      <c r="A14" s="6">
        <v>2023.0</v>
      </c>
      <c r="B14" s="2" t="s">
        <v>66</v>
      </c>
      <c r="C14" s="7">
        <v>72979.97</v>
      </c>
    </row>
    <row r="15">
      <c r="A15" s="6">
        <v>2023.0</v>
      </c>
      <c r="B15" s="2" t="s">
        <v>67</v>
      </c>
      <c r="C15" s="7">
        <v>24447.15</v>
      </c>
    </row>
    <row r="16">
      <c r="A16" s="6">
        <v>2023.0</v>
      </c>
      <c r="B16" s="2" t="s">
        <v>68</v>
      </c>
      <c r="C16" s="7">
        <v>20840.01</v>
      </c>
    </row>
    <row r="17">
      <c r="A17" s="6">
        <v>2023.0</v>
      </c>
      <c r="B17" s="2" t="s">
        <v>69</v>
      </c>
      <c r="C17" s="7">
        <v>39651.41</v>
      </c>
    </row>
    <row r="18">
      <c r="A18" s="6">
        <v>2023.0</v>
      </c>
      <c r="B18" s="2" t="s">
        <v>70</v>
      </c>
      <c r="C18" s="7">
        <v>16998.53</v>
      </c>
    </row>
    <row r="19">
      <c r="A19" s="6">
        <v>2023.0</v>
      </c>
      <c r="B19" s="2" t="s">
        <v>71</v>
      </c>
      <c r="C19" s="7">
        <v>35286.12</v>
      </c>
    </row>
    <row r="20">
      <c r="A20" s="6">
        <v>2023.0</v>
      </c>
      <c r="B20" s="2" t="s">
        <v>72</v>
      </c>
      <c r="C20" s="7">
        <v>18358.47</v>
      </c>
    </row>
    <row r="21">
      <c r="A21" s="6">
        <v>2023.0</v>
      </c>
      <c r="B21" s="2" t="s">
        <v>73</v>
      </c>
      <c r="C21" s="7">
        <v>20715.43</v>
      </c>
    </row>
    <row r="22">
      <c r="A22" s="6">
        <v>2023.0</v>
      </c>
      <c r="B22" s="2" t="s">
        <v>74</v>
      </c>
      <c r="C22" s="7">
        <v>28015.7</v>
      </c>
    </row>
    <row r="23">
      <c r="A23" s="6">
        <v>2023.0</v>
      </c>
      <c r="B23" s="2" t="s">
        <v>75</v>
      </c>
      <c r="C23" s="7">
        <v>36699.04</v>
      </c>
    </row>
    <row r="24">
      <c r="A24" s="6">
        <v>2023.0</v>
      </c>
      <c r="B24" s="2" t="s">
        <v>47</v>
      </c>
      <c r="C24" s="7">
        <v>7264.83</v>
      </c>
    </row>
    <row r="25">
      <c r="A25" s="6">
        <v>2023.0</v>
      </c>
      <c r="B25" s="2" t="s">
        <v>48</v>
      </c>
      <c r="C25" s="7">
        <v>40609.7</v>
      </c>
    </row>
    <row r="26">
      <c r="A26" s="6">
        <v>2023.0</v>
      </c>
      <c r="B26" s="2" t="s">
        <v>49</v>
      </c>
      <c r="C26" s="7">
        <v>10918.72</v>
      </c>
    </row>
    <row r="27">
      <c r="A27" s="6">
        <v>2023.0</v>
      </c>
      <c r="B27" s="2" t="s">
        <v>50</v>
      </c>
      <c r="C27" s="7">
        <v>161815.79</v>
      </c>
    </row>
    <row r="28">
      <c r="A28" s="8">
        <v>2024.0</v>
      </c>
      <c r="B28" s="2" t="s">
        <v>54</v>
      </c>
      <c r="C28" s="9">
        <v>104565.53</v>
      </c>
      <c r="D28" s="10"/>
    </row>
    <row r="29">
      <c r="A29" s="8">
        <v>2024.0</v>
      </c>
      <c r="B29" s="2" t="s">
        <v>55</v>
      </c>
      <c r="C29" s="9">
        <v>23847.86</v>
      </c>
      <c r="D29" s="10"/>
    </row>
    <row r="30">
      <c r="A30" s="8">
        <v>2024.0</v>
      </c>
      <c r="B30" s="2" t="s">
        <v>56</v>
      </c>
      <c r="C30" s="9">
        <v>15753.02</v>
      </c>
      <c r="D30" s="10"/>
    </row>
    <row r="31">
      <c r="A31" s="8">
        <v>2024.0</v>
      </c>
      <c r="B31" s="2" t="s">
        <v>57</v>
      </c>
      <c r="C31" s="9">
        <v>16116.16</v>
      </c>
      <c r="D31" s="10"/>
    </row>
    <row r="32">
      <c r="A32" s="8">
        <v>2024.0</v>
      </c>
      <c r="B32" s="2" t="s">
        <v>58</v>
      </c>
      <c r="C32" s="9">
        <v>27538.45</v>
      </c>
      <c r="D32" s="10"/>
    </row>
    <row r="33">
      <c r="A33" s="8">
        <v>2024.0</v>
      </c>
      <c r="B33" s="2" t="s">
        <v>59</v>
      </c>
      <c r="C33" s="9">
        <v>27562.18</v>
      </c>
      <c r="D33" s="10"/>
    </row>
    <row r="34">
      <c r="A34" s="8">
        <v>2024.0</v>
      </c>
      <c r="B34" s="2" t="s">
        <v>60</v>
      </c>
      <c r="C34" s="9">
        <v>33580.87</v>
      </c>
      <c r="D34" s="10"/>
    </row>
    <row r="35">
      <c r="A35" s="8">
        <v>2024.0</v>
      </c>
      <c r="B35" s="2" t="s">
        <v>61</v>
      </c>
      <c r="C35" s="9">
        <v>32188.46</v>
      </c>
      <c r="D35" s="10"/>
    </row>
    <row r="36">
      <c r="A36" s="8">
        <v>2024.0</v>
      </c>
      <c r="B36" s="2" t="s">
        <v>62</v>
      </c>
      <c r="C36" s="9">
        <v>24739.08</v>
      </c>
      <c r="D36" s="10"/>
    </row>
    <row r="37">
      <c r="A37" s="8">
        <v>2024.0</v>
      </c>
      <c r="B37" s="2" t="s">
        <v>63</v>
      </c>
      <c r="C37" s="9">
        <v>31876.51</v>
      </c>
      <c r="D37" s="10"/>
    </row>
    <row r="38">
      <c r="A38" s="8">
        <v>2024.0</v>
      </c>
      <c r="B38" s="2" t="s">
        <v>64</v>
      </c>
      <c r="C38" s="9">
        <v>32091.21</v>
      </c>
      <c r="D38" s="10"/>
    </row>
    <row r="39">
      <c r="A39" s="8">
        <v>2024.0</v>
      </c>
      <c r="B39" s="2" t="s">
        <v>65</v>
      </c>
      <c r="C39" s="9">
        <v>36787.62</v>
      </c>
      <c r="D39" s="10"/>
    </row>
    <row r="40">
      <c r="A40" s="8">
        <v>2024.0</v>
      </c>
      <c r="B40" s="2" t="s">
        <v>66</v>
      </c>
      <c r="C40" s="9">
        <v>75045.07</v>
      </c>
      <c r="D40" s="10"/>
    </row>
    <row r="41">
      <c r="A41" s="8">
        <v>2024.0</v>
      </c>
      <c r="B41" s="2" t="s">
        <v>67</v>
      </c>
      <c r="C41" s="9">
        <v>25488.89</v>
      </c>
      <c r="D41" s="10"/>
    </row>
    <row r="42">
      <c r="A42" s="8">
        <v>2024.0</v>
      </c>
      <c r="B42" s="2" t="s">
        <v>68</v>
      </c>
      <c r="C42" s="9">
        <v>21907.94</v>
      </c>
      <c r="D42" s="10"/>
    </row>
    <row r="43">
      <c r="A43" s="8">
        <v>2024.0</v>
      </c>
      <c r="B43" s="2" t="s">
        <v>69</v>
      </c>
      <c r="C43" s="9">
        <v>41548.39</v>
      </c>
      <c r="D43" s="10"/>
    </row>
    <row r="44">
      <c r="A44" s="8">
        <v>2024.0</v>
      </c>
      <c r="B44" s="2" t="s">
        <v>70</v>
      </c>
      <c r="C44" s="9">
        <v>17852.53</v>
      </c>
      <c r="D44" s="10"/>
    </row>
    <row r="45">
      <c r="A45" s="8">
        <v>2024.0</v>
      </c>
      <c r="B45" s="2" t="s">
        <v>71</v>
      </c>
      <c r="C45" s="9">
        <v>37217.51</v>
      </c>
      <c r="D45" s="10"/>
    </row>
    <row r="46">
      <c r="A46" s="8">
        <v>2024.0</v>
      </c>
      <c r="B46" s="2" t="s">
        <v>72</v>
      </c>
      <c r="C46" s="9">
        <v>19291.18</v>
      </c>
      <c r="D46" s="10"/>
    </row>
    <row r="47">
      <c r="A47" s="8">
        <v>2024.0</v>
      </c>
      <c r="B47" s="2" t="s">
        <v>73</v>
      </c>
      <c r="C47" s="9">
        <v>21788.37</v>
      </c>
      <c r="D47" s="10"/>
    </row>
    <row r="48">
      <c r="A48" s="8">
        <v>2024.0</v>
      </c>
      <c r="B48" s="2" t="s">
        <v>74</v>
      </c>
      <c r="C48" s="9">
        <v>29451.96</v>
      </c>
      <c r="D48" s="10"/>
    </row>
    <row r="49">
      <c r="A49" s="8">
        <v>2024.0</v>
      </c>
      <c r="B49" s="2" t="s">
        <v>75</v>
      </c>
      <c r="C49" s="9">
        <v>38563.2</v>
      </c>
      <c r="D49" s="10"/>
    </row>
    <row r="50">
      <c r="A50" s="8">
        <v>2024.0</v>
      </c>
      <c r="B50" s="2" t="s">
        <v>47</v>
      </c>
      <c r="C50" s="9">
        <v>7671.43</v>
      </c>
      <c r="D50" s="10"/>
    </row>
    <row r="51">
      <c r="A51" s="8">
        <v>2024.0</v>
      </c>
      <c r="B51" s="2" t="s">
        <v>48</v>
      </c>
      <c r="C51" s="9">
        <v>42891.23</v>
      </c>
      <c r="D51" s="10"/>
    </row>
    <row r="52">
      <c r="A52" s="8">
        <v>2024.0</v>
      </c>
      <c r="B52" s="2" t="s">
        <v>49</v>
      </c>
      <c r="C52" s="9">
        <v>11509.89</v>
      </c>
      <c r="D52" s="10"/>
    </row>
    <row r="53">
      <c r="A53" s="8">
        <v>2024.0</v>
      </c>
      <c r="B53" s="2" t="s">
        <v>50</v>
      </c>
      <c r="C53" s="9">
        <v>171014.75</v>
      </c>
      <c r="D53" s="10"/>
    </row>
    <row r="54">
      <c r="A54" s="8">
        <v>2025.0</v>
      </c>
      <c r="B54" s="2" t="s">
        <v>54</v>
      </c>
      <c r="C54" s="11">
        <v>108031.28</v>
      </c>
    </row>
    <row r="55">
      <c r="A55" s="8">
        <v>2025.0</v>
      </c>
      <c r="B55" s="2" t="s">
        <v>55</v>
      </c>
      <c r="C55" s="11">
        <v>25253.4</v>
      </c>
    </row>
    <row r="56">
      <c r="A56" s="8">
        <v>2025.0</v>
      </c>
      <c r="B56" s="2" t="s">
        <v>56</v>
      </c>
      <c r="C56" s="11">
        <v>16583.69</v>
      </c>
    </row>
    <row r="57">
      <c r="A57" s="8">
        <v>2025.0</v>
      </c>
      <c r="B57" s="2" t="s">
        <v>57</v>
      </c>
      <c r="C57" s="11">
        <v>16924.73</v>
      </c>
    </row>
    <row r="58">
      <c r="A58" s="8">
        <v>2025.0</v>
      </c>
      <c r="B58" s="2" t="s">
        <v>58</v>
      </c>
      <c r="C58" s="11">
        <v>29160.54</v>
      </c>
    </row>
    <row r="59">
      <c r="A59" s="8">
        <v>2025.0</v>
      </c>
      <c r="B59" s="2" t="s">
        <v>59</v>
      </c>
      <c r="C59" s="11">
        <v>28890.03</v>
      </c>
    </row>
    <row r="60">
      <c r="A60" s="8">
        <v>2025.0</v>
      </c>
      <c r="B60" s="2" t="s">
        <v>60</v>
      </c>
      <c r="C60" s="11">
        <v>35131.44</v>
      </c>
    </row>
    <row r="61">
      <c r="A61" s="8">
        <v>2025.0</v>
      </c>
      <c r="B61" s="2" t="s">
        <v>61</v>
      </c>
      <c r="C61" s="11">
        <v>33951.06</v>
      </c>
    </row>
    <row r="62">
      <c r="A62" s="8">
        <v>2025.0</v>
      </c>
      <c r="B62" s="2" t="s">
        <v>62</v>
      </c>
      <c r="C62" s="11">
        <v>26141.91</v>
      </c>
    </row>
    <row r="63">
      <c r="A63" s="8">
        <v>2025.0</v>
      </c>
      <c r="B63" s="2" t="s">
        <v>63</v>
      </c>
      <c r="C63" s="11">
        <v>33709.11</v>
      </c>
    </row>
    <row r="64">
      <c r="A64" s="8">
        <v>2025.0</v>
      </c>
      <c r="B64" s="2" t="s">
        <v>64</v>
      </c>
      <c r="C64" s="11">
        <v>33921.43</v>
      </c>
    </row>
    <row r="65">
      <c r="A65" s="8">
        <v>2025.0</v>
      </c>
      <c r="B65" s="2" t="s">
        <v>65</v>
      </c>
      <c r="C65" s="11">
        <v>39038.28</v>
      </c>
    </row>
    <row r="66">
      <c r="A66" s="8">
        <v>2025.0</v>
      </c>
      <c r="B66" s="2" t="s">
        <v>66</v>
      </c>
      <c r="C66" s="11">
        <v>75783.15</v>
      </c>
    </row>
    <row r="67">
      <c r="A67" s="8">
        <v>2025.0</v>
      </c>
      <c r="B67" s="2" t="s">
        <v>67</v>
      </c>
      <c r="C67" s="11">
        <v>26869.08</v>
      </c>
    </row>
    <row r="68">
      <c r="A68" s="8">
        <v>2025.0</v>
      </c>
      <c r="B68" s="2" t="s">
        <v>68</v>
      </c>
      <c r="C68" s="11">
        <v>23439.71</v>
      </c>
    </row>
    <row r="69">
      <c r="A69" s="8">
        <v>2025.0</v>
      </c>
      <c r="B69" s="2" t="s">
        <v>69</v>
      </c>
      <c r="C69" s="11">
        <v>43880.58</v>
      </c>
    </row>
    <row r="70">
      <c r="A70" s="8">
        <v>2025.0</v>
      </c>
      <c r="B70" s="2" t="s">
        <v>70</v>
      </c>
      <c r="C70" s="11">
        <v>18863.34</v>
      </c>
    </row>
    <row r="71">
      <c r="A71" s="8">
        <v>2025.0</v>
      </c>
      <c r="B71" s="2" t="s">
        <v>71</v>
      </c>
      <c r="C71" s="11">
        <v>40192.08</v>
      </c>
    </row>
    <row r="72">
      <c r="A72" s="8">
        <v>2025.0</v>
      </c>
      <c r="B72" s="2" t="s">
        <v>72</v>
      </c>
      <c r="C72" s="11">
        <v>20425.92</v>
      </c>
    </row>
    <row r="73">
      <c r="A73" s="8">
        <v>2025.0</v>
      </c>
      <c r="B73" s="2" t="s">
        <v>73</v>
      </c>
      <c r="C73" s="11">
        <v>23052.08</v>
      </c>
    </row>
    <row r="74">
      <c r="A74" s="8">
        <v>2025.0</v>
      </c>
      <c r="B74" s="2" t="s">
        <v>74</v>
      </c>
      <c r="C74" s="11">
        <v>31211.27</v>
      </c>
    </row>
    <row r="75">
      <c r="A75" s="8">
        <v>2025.0</v>
      </c>
      <c r="B75" s="2" t="s">
        <v>75</v>
      </c>
      <c r="C75" s="11">
        <v>40655.22</v>
      </c>
    </row>
    <row r="76">
      <c r="A76" s="8">
        <v>2025.0</v>
      </c>
      <c r="B76" s="2" t="s">
        <v>47</v>
      </c>
      <c r="C76" s="11">
        <v>8125.78</v>
      </c>
    </row>
    <row r="77">
      <c r="A77" s="8">
        <v>2025.0</v>
      </c>
      <c r="B77" s="2" t="s">
        <v>48</v>
      </c>
      <c r="C77" s="11">
        <v>45304.55</v>
      </c>
    </row>
    <row r="78">
      <c r="A78" s="8">
        <v>2025.0</v>
      </c>
      <c r="B78" s="2" t="s">
        <v>49</v>
      </c>
      <c r="C78" s="11">
        <v>12198.74</v>
      </c>
    </row>
    <row r="79">
      <c r="A79" s="8">
        <v>2025.0</v>
      </c>
      <c r="B79" s="2" t="s">
        <v>50</v>
      </c>
      <c r="C79" s="11">
        <v>182122.11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51</v>
      </c>
      <c r="B1" s="10"/>
      <c r="C1" s="10" t="s">
        <v>76</v>
      </c>
      <c r="D1" s="10" t="s">
        <v>77</v>
      </c>
      <c r="E1" s="10" t="s">
        <v>78</v>
      </c>
      <c r="F1" s="10" t="s">
        <v>79</v>
      </c>
      <c r="G1" s="10" t="s">
        <v>80</v>
      </c>
      <c r="H1" s="10" t="s">
        <v>81</v>
      </c>
    </row>
    <row r="2">
      <c r="A2" s="6">
        <v>2025.0</v>
      </c>
      <c r="B2" s="1" t="s">
        <v>7</v>
      </c>
      <c r="C2" s="10" t="s">
        <v>7</v>
      </c>
      <c r="D2" s="10">
        <v>2046400.0</v>
      </c>
      <c r="E2" s="10">
        <v>1.08</v>
      </c>
      <c r="F2" s="10">
        <v>5.35</v>
      </c>
      <c r="G2" s="10">
        <v>881.0</v>
      </c>
      <c r="H2" s="10">
        <v>101.3</v>
      </c>
    </row>
    <row r="3">
      <c r="A3" s="6">
        <v>2025.0</v>
      </c>
      <c r="B3" s="1" t="s">
        <v>10</v>
      </c>
      <c r="C3" s="10" t="s">
        <v>10</v>
      </c>
      <c r="D3" s="10">
        <v>1431800.0</v>
      </c>
      <c r="E3" s="10">
        <v>1.24</v>
      </c>
      <c r="F3" s="10">
        <v>3.74</v>
      </c>
      <c r="G3" s="10">
        <v>1073.0</v>
      </c>
      <c r="H3" s="10">
        <v>102.8</v>
      </c>
    </row>
    <row r="4">
      <c r="A4" s="6">
        <v>2025.0</v>
      </c>
      <c r="B4" s="1" t="s">
        <v>15</v>
      </c>
      <c r="C4" s="10" t="s">
        <v>15</v>
      </c>
      <c r="D4" s="10">
        <v>801700.0</v>
      </c>
      <c r="E4" s="10">
        <v>0.86</v>
      </c>
      <c r="F4" s="10">
        <v>2.1</v>
      </c>
      <c r="G4" s="10">
        <v>741.0</v>
      </c>
      <c r="H4" s="10">
        <v>100.3</v>
      </c>
    </row>
    <row r="5">
      <c r="A5" s="6">
        <v>2025.0</v>
      </c>
      <c r="B5" s="1" t="s">
        <v>22</v>
      </c>
      <c r="C5" s="10" t="s">
        <v>22</v>
      </c>
      <c r="D5" s="10">
        <v>931100.0</v>
      </c>
      <c r="E5" s="10">
        <v>1.22</v>
      </c>
      <c r="F5" s="10">
        <v>2.44</v>
      </c>
      <c r="G5" s="10">
        <v>920.0</v>
      </c>
      <c r="H5" s="10">
        <v>103.6</v>
      </c>
    </row>
    <row r="6">
      <c r="A6" s="6">
        <v>2025.0</v>
      </c>
      <c r="B6" s="1" t="s">
        <v>26</v>
      </c>
      <c r="C6" s="10" t="s">
        <v>26</v>
      </c>
      <c r="D6" s="10">
        <v>1352000.0</v>
      </c>
      <c r="E6" s="10">
        <v>0.83</v>
      </c>
      <c r="F6" s="10">
        <v>3.54</v>
      </c>
      <c r="G6" s="10">
        <v>1196.0</v>
      </c>
      <c r="H6" s="10">
        <v>101.0</v>
      </c>
    </row>
    <row r="7">
      <c r="A7" s="6">
        <v>2025.0</v>
      </c>
      <c r="B7" s="1" t="s">
        <v>29</v>
      </c>
      <c r="C7" s="10" t="s">
        <v>29</v>
      </c>
      <c r="D7" s="10">
        <v>1109300.0</v>
      </c>
      <c r="E7" s="10">
        <v>0.91</v>
      </c>
      <c r="F7" s="10">
        <v>2.9</v>
      </c>
      <c r="G7" s="10">
        <v>1012.0</v>
      </c>
      <c r="H7" s="10">
        <v>100.8</v>
      </c>
    </row>
    <row r="8">
      <c r="A8" s="6">
        <v>2025.0</v>
      </c>
      <c r="B8" s="1" t="s">
        <v>31</v>
      </c>
      <c r="C8" s="10" t="s">
        <v>31</v>
      </c>
      <c r="D8" s="10">
        <v>1300900.0</v>
      </c>
      <c r="E8" s="10">
        <v>0.67</v>
      </c>
      <c r="F8" s="10">
        <v>3.4</v>
      </c>
      <c r="G8" s="10">
        <v>1855.0</v>
      </c>
      <c r="H8" s="10">
        <v>99.0</v>
      </c>
    </row>
    <row r="9">
      <c r="A9" s="6">
        <v>2025.0</v>
      </c>
      <c r="B9" s="1" t="s">
        <v>32</v>
      </c>
      <c r="C9" s="10" t="s">
        <v>32</v>
      </c>
      <c r="D9" s="10">
        <v>950400.0</v>
      </c>
      <c r="E9" s="10">
        <v>0.98</v>
      </c>
      <c r="F9" s="10">
        <v>2.49</v>
      </c>
      <c r="G9" s="10">
        <v>1926.0</v>
      </c>
      <c r="H9" s="10">
        <v>99.8</v>
      </c>
    </row>
    <row r="10">
      <c r="A10" s="6">
        <v>2025.0</v>
      </c>
      <c r="B10" s="1" t="s">
        <v>33</v>
      </c>
      <c r="C10" s="10" t="s">
        <v>33</v>
      </c>
      <c r="D10" s="10">
        <v>1057100.0</v>
      </c>
      <c r="E10" s="10">
        <v>0.28</v>
      </c>
      <c r="F10" s="10">
        <v>2.76</v>
      </c>
      <c r="G10" s="10">
        <v>555.0</v>
      </c>
      <c r="H10" s="10">
        <v>99.5</v>
      </c>
    </row>
    <row r="11">
      <c r="A11" s="6">
        <v>2025.0</v>
      </c>
      <c r="B11" s="1" t="s">
        <v>34</v>
      </c>
      <c r="C11" s="10" t="s">
        <v>34</v>
      </c>
      <c r="D11" s="10">
        <v>968500.0</v>
      </c>
      <c r="E11" s="10">
        <v>0.81</v>
      </c>
      <c r="F11" s="10">
        <v>2.53</v>
      </c>
      <c r="G11" s="10">
        <v>1206.0</v>
      </c>
      <c r="H11" s="10">
        <v>99.3</v>
      </c>
    </row>
    <row r="12">
      <c r="A12" s="6">
        <v>2025.0</v>
      </c>
      <c r="B12" s="1" t="s">
        <v>35</v>
      </c>
      <c r="C12" s="10" t="s">
        <v>35</v>
      </c>
      <c r="D12" s="10">
        <v>1011800.0</v>
      </c>
      <c r="E12" s="10">
        <v>0.74</v>
      </c>
      <c r="F12" s="10">
        <v>2.65</v>
      </c>
      <c r="G12" s="10">
        <v>1017.0</v>
      </c>
      <c r="H12" s="10">
        <v>99.2</v>
      </c>
    </row>
    <row r="13">
      <c r="A13" s="6">
        <v>2025.0</v>
      </c>
      <c r="B13" s="1" t="s">
        <v>36</v>
      </c>
      <c r="C13" s="10" t="s">
        <v>36</v>
      </c>
      <c r="D13" s="10">
        <v>1381900.0</v>
      </c>
      <c r="E13" s="10">
        <v>0.9</v>
      </c>
      <c r="F13" s="10">
        <v>3.61</v>
      </c>
      <c r="G13" s="10">
        <v>879.0</v>
      </c>
      <c r="H13" s="10">
        <v>99.7</v>
      </c>
    </row>
    <row r="14">
      <c r="A14" s="6">
        <v>2025.0</v>
      </c>
      <c r="B14" s="1" t="s">
        <v>37</v>
      </c>
      <c r="C14" s="10" t="s">
        <v>37</v>
      </c>
      <c r="D14" s="10">
        <v>891700.0</v>
      </c>
      <c r="E14" s="10">
        <v>1.03</v>
      </c>
      <c r="F14" s="10">
        <v>2.33</v>
      </c>
      <c r="G14" s="10">
        <v>1993.0</v>
      </c>
      <c r="H14" s="10">
        <v>99.4</v>
      </c>
    </row>
    <row r="15">
      <c r="A15" s="6">
        <v>2025.0</v>
      </c>
      <c r="B15" s="1" t="s">
        <v>38</v>
      </c>
      <c r="C15" s="10" t="s">
        <v>38</v>
      </c>
      <c r="D15" s="10">
        <v>1244300.0</v>
      </c>
      <c r="E15" s="10">
        <v>1.03</v>
      </c>
      <c r="F15" s="10">
        <v>3.25</v>
      </c>
      <c r="G15" s="10">
        <v>1220.0</v>
      </c>
      <c r="H15" s="10">
        <v>101.1</v>
      </c>
    </row>
    <row r="16">
      <c r="A16" s="6">
        <v>2025.0</v>
      </c>
      <c r="B16" s="1" t="s">
        <v>39</v>
      </c>
      <c r="C16" s="10" t="s">
        <v>39</v>
      </c>
      <c r="D16" s="10">
        <v>1265100.0</v>
      </c>
      <c r="E16" s="10">
        <v>1.05</v>
      </c>
      <c r="F16" s="10">
        <v>3.31</v>
      </c>
      <c r="G16" s="10">
        <v>1294.0</v>
      </c>
      <c r="H16" s="10">
        <v>101.7</v>
      </c>
    </row>
    <row r="17">
      <c r="A17" s="6">
        <v>2025.0</v>
      </c>
      <c r="B17" s="1" t="s">
        <v>40</v>
      </c>
      <c r="C17" s="10" t="s">
        <v>40</v>
      </c>
      <c r="D17" s="10">
        <v>1098600.0</v>
      </c>
      <c r="E17" s="10">
        <v>0.89</v>
      </c>
      <c r="F17" s="10">
        <v>2.87</v>
      </c>
      <c r="G17" s="10">
        <v>1078.0</v>
      </c>
      <c r="H17" s="10">
        <v>99.0</v>
      </c>
    </row>
    <row r="18">
      <c r="A18" s="6">
        <v>2025.0</v>
      </c>
      <c r="B18" s="1" t="s">
        <v>41</v>
      </c>
      <c r="C18" s="10" t="s">
        <v>41</v>
      </c>
      <c r="D18" s="10">
        <v>821100.0</v>
      </c>
      <c r="E18" s="10">
        <v>0.81</v>
      </c>
      <c r="F18" s="10">
        <v>2.15</v>
      </c>
      <c r="G18" s="10">
        <v>949.0</v>
      </c>
      <c r="H18" s="10">
        <v>100.7</v>
      </c>
    </row>
    <row r="19">
      <c r="A19" s="6">
        <v>2025.0</v>
      </c>
      <c r="B19" s="1" t="s">
        <v>42</v>
      </c>
      <c r="C19" s="10" t="s">
        <v>42</v>
      </c>
      <c r="D19" s="10">
        <v>1076500.0</v>
      </c>
      <c r="E19" s="10">
        <v>1.17</v>
      </c>
      <c r="F19" s="10">
        <v>2.82</v>
      </c>
      <c r="G19" s="10">
        <v>1068.0</v>
      </c>
      <c r="H19" s="10">
        <v>101.4</v>
      </c>
    </row>
    <row r="20">
      <c r="A20" s="6">
        <v>2025.0</v>
      </c>
      <c r="B20" s="1" t="s">
        <v>43</v>
      </c>
      <c r="C20" s="10" t="s">
        <v>43</v>
      </c>
      <c r="D20" s="10">
        <v>1030300.0</v>
      </c>
      <c r="E20" s="10">
        <v>1.3</v>
      </c>
      <c r="F20" s="10">
        <v>2.69</v>
      </c>
      <c r="G20" s="10">
        <v>1154.0</v>
      </c>
      <c r="H20" s="10">
        <v>103.3</v>
      </c>
    </row>
    <row r="21">
      <c r="A21" s="6">
        <v>2025.0</v>
      </c>
      <c r="B21" s="1" t="s">
        <v>44</v>
      </c>
      <c r="C21" s="10" t="s">
        <v>44</v>
      </c>
      <c r="D21" s="10">
        <v>1559300.0</v>
      </c>
      <c r="E21" s="10">
        <v>1.23</v>
      </c>
      <c r="F21" s="10">
        <v>4.08</v>
      </c>
      <c r="G21" s="10">
        <v>1371.0</v>
      </c>
      <c r="H21" s="10">
        <v>102.6</v>
      </c>
    </row>
    <row r="22">
      <c r="A22" s="6">
        <v>2025.0</v>
      </c>
      <c r="B22" s="1" t="s">
        <v>45</v>
      </c>
      <c r="C22" s="10" t="s">
        <v>45</v>
      </c>
      <c r="D22" s="10">
        <v>1694200.0</v>
      </c>
      <c r="E22" s="10">
        <v>1.25</v>
      </c>
      <c r="F22" s="10">
        <v>4.43</v>
      </c>
      <c r="G22" s="10">
        <v>1722.0</v>
      </c>
      <c r="H22" s="10">
        <v>102.7</v>
      </c>
    </row>
    <row r="23">
      <c r="A23" s="6">
        <v>2025.0</v>
      </c>
      <c r="B23" s="1" t="s">
        <v>46</v>
      </c>
      <c r="C23" s="10" t="s">
        <v>46</v>
      </c>
      <c r="D23" s="10">
        <v>2087300.0000000002</v>
      </c>
      <c r="E23" s="10">
        <v>1.13</v>
      </c>
      <c r="F23" s="10">
        <v>5.46</v>
      </c>
      <c r="G23" s="10">
        <v>1198.0</v>
      </c>
      <c r="H23" s="10">
        <v>102.8</v>
      </c>
    </row>
    <row r="24">
      <c r="A24" s="6">
        <v>2025.0</v>
      </c>
      <c r="B24" s="1" t="s">
        <v>47</v>
      </c>
      <c r="C24" s="10" t="s">
        <v>47</v>
      </c>
      <c r="D24" s="10">
        <v>122700.0</v>
      </c>
      <c r="E24" s="10">
        <v>0.2</v>
      </c>
      <c r="F24" s="10">
        <v>0.32</v>
      </c>
      <c r="G24" s="10">
        <v>6610.0</v>
      </c>
      <c r="H24" s="10">
        <v>98.6</v>
      </c>
    </row>
    <row r="25">
      <c r="A25" s="6">
        <v>2025.0</v>
      </c>
      <c r="B25" s="1" t="s">
        <v>48</v>
      </c>
      <c r="C25" s="10" t="s">
        <v>48</v>
      </c>
      <c r="D25" s="10">
        <v>529100.0</v>
      </c>
      <c r="E25" s="10">
        <v>0.27</v>
      </c>
      <c r="F25" s="10">
        <v>1.38</v>
      </c>
      <c r="G25" s="10">
        <v>11324.0</v>
      </c>
      <c r="H25" s="10">
        <v>96.9</v>
      </c>
    </row>
    <row r="26">
      <c r="A26" s="6">
        <v>2025.0</v>
      </c>
      <c r="B26" s="1" t="s">
        <v>49</v>
      </c>
      <c r="C26" s="10" t="s">
        <v>49</v>
      </c>
      <c r="D26" s="10">
        <v>203600.0</v>
      </c>
      <c r="E26" s="10">
        <v>1.2</v>
      </c>
      <c r="F26" s="10">
        <v>0.53</v>
      </c>
      <c r="G26" s="10">
        <v>3702.0</v>
      </c>
      <c r="H26" s="10">
        <v>97.5</v>
      </c>
    </row>
    <row r="27">
      <c r="A27" s="6">
        <v>2025.0</v>
      </c>
      <c r="B27" s="1" t="s">
        <v>50</v>
      </c>
      <c r="C27" s="10" t="s">
        <v>50</v>
      </c>
      <c r="D27" s="10">
        <v>1722400.0</v>
      </c>
      <c r="E27" s="10">
        <v>0.86</v>
      </c>
      <c r="F27" s="10">
        <v>4.5</v>
      </c>
      <c r="G27" s="10">
        <v>4655.0</v>
      </c>
      <c r="H27" s="10">
        <v>97.8</v>
      </c>
    </row>
    <row r="28">
      <c r="A28" s="8">
        <v>2024.0</v>
      </c>
      <c r="B28" s="1" t="s">
        <v>7</v>
      </c>
      <c r="C28" s="12" t="s">
        <v>7</v>
      </c>
      <c r="D28" s="13">
        <v>2027400.0</v>
      </c>
      <c r="E28" s="7">
        <v>1.03</v>
      </c>
      <c r="F28" s="7">
        <v>5.35</v>
      </c>
      <c r="G28" s="7">
        <v>901.0</v>
      </c>
      <c r="H28" s="7">
        <v>101.4</v>
      </c>
    </row>
    <row r="29">
      <c r="A29" s="8">
        <v>2024.0</v>
      </c>
      <c r="B29" s="1" t="s">
        <v>10</v>
      </c>
      <c r="C29" s="12" t="s">
        <v>10</v>
      </c>
      <c r="D29" s="13">
        <v>1414800.0</v>
      </c>
      <c r="E29" s="7">
        <v>1.27</v>
      </c>
      <c r="F29" s="7">
        <v>3.73</v>
      </c>
      <c r="G29" s="7">
        <v>1060.0</v>
      </c>
      <c r="H29" s="7">
        <v>102.8</v>
      </c>
    </row>
    <row r="30">
      <c r="A30" s="8">
        <v>2024.0</v>
      </c>
      <c r="B30" s="1" t="s">
        <v>15</v>
      </c>
      <c r="C30" s="12" t="s">
        <v>15</v>
      </c>
      <c r="D30" s="13">
        <v>795000.0</v>
      </c>
      <c r="E30" s="7">
        <v>0.89</v>
      </c>
      <c r="F30" s="7">
        <v>2.1</v>
      </c>
      <c r="G30" s="7">
        <v>768.0</v>
      </c>
      <c r="H30" s="7">
        <v>100.3</v>
      </c>
    </row>
    <row r="31">
      <c r="A31" s="8">
        <v>2024.0</v>
      </c>
      <c r="B31" s="1" t="s">
        <v>22</v>
      </c>
      <c r="C31" s="12" t="s">
        <v>22</v>
      </c>
      <c r="D31" s="13">
        <v>920500.0</v>
      </c>
      <c r="E31" s="7">
        <v>1.25</v>
      </c>
      <c r="F31" s="7">
        <v>2.43</v>
      </c>
      <c r="G31" s="7">
        <v>935.0</v>
      </c>
      <c r="H31" s="7">
        <v>103.7</v>
      </c>
    </row>
    <row r="32">
      <c r="A32" s="8">
        <v>2024.0</v>
      </c>
      <c r="B32" s="1" t="s">
        <v>26</v>
      </c>
      <c r="C32" s="12" t="s">
        <v>26</v>
      </c>
      <c r="D32" s="13">
        <v>1341500.0</v>
      </c>
      <c r="E32" s="7">
        <v>0.85</v>
      </c>
      <c r="F32" s="7">
        <v>3.54</v>
      </c>
      <c r="G32" s="7">
        <v>1236.0</v>
      </c>
      <c r="H32" s="7">
        <v>101.1</v>
      </c>
    </row>
    <row r="33">
      <c r="A33" s="8">
        <v>2024.0</v>
      </c>
      <c r="B33" s="1" t="s">
        <v>29</v>
      </c>
      <c r="C33" s="12" t="s">
        <v>29</v>
      </c>
      <c r="D33" s="13">
        <v>1099900.0</v>
      </c>
      <c r="E33" s="7">
        <v>0.94</v>
      </c>
      <c r="F33" s="7">
        <v>2.9</v>
      </c>
      <c r="G33" s="7">
        <v>1017.0</v>
      </c>
      <c r="H33" s="7">
        <v>100.9</v>
      </c>
    </row>
    <row r="34">
      <c r="A34" s="8">
        <v>2024.0</v>
      </c>
      <c r="B34" s="1" t="s">
        <v>31</v>
      </c>
      <c r="C34" s="12" t="s">
        <v>31</v>
      </c>
      <c r="D34" s="13">
        <v>1292800.0</v>
      </c>
      <c r="E34" s="7">
        <v>0.7</v>
      </c>
      <c r="F34" s="7">
        <v>3.41</v>
      </c>
      <c r="G34" s="7">
        <v>1846.0</v>
      </c>
      <c r="H34" s="7">
        <v>99.0</v>
      </c>
    </row>
    <row r="35">
      <c r="A35" s="8">
        <v>2024.0</v>
      </c>
      <c r="B35" s="1" t="s">
        <v>32</v>
      </c>
      <c r="C35" s="12" t="s">
        <v>32</v>
      </c>
      <c r="D35" s="13">
        <v>941700.0</v>
      </c>
      <c r="E35" s="7">
        <v>1.01</v>
      </c>
      <c r="F35" s="7">
        <v>2.49</v>
      </c>
      <c r="G35" s="7">
        <v>2018.0</v>
      </c>
      <c r="H35" s="7">
        <v>99.9</v>
      </c>
    </row>
    <row r="36">
      <c r="A36" s="8">
        <v>2024.0</v>
      </c>
      <c r="B36" s="1" t="s">
        <v>33</v>
      </c>
      <c r="C36" s="12" t="s">
        <v>33</v>
      </c>
      <c r="D36" s="13">
        <v>1054200.0</v>
      </c>
      <c r="E36" s="7">
        <v>0.31</v>
      </c>
      <c r="F36" s="7">
        <v>2.78</v>
      </c>
      <c r="G36" s="7">
        <v>588.0</v>
      </c>
      <c r="H36" s="7">
        <v>99.5</v>
      </c>
    </row>
    <row r="37">
      <c r="A37" s="8">
        <v>2024.0</v>
      </c>
      <c r="B37" s="1" t="s">
        <v>34</v>
      </c>
      <c r="C37" s="12" t="s">
        <v>34</v>
      </c>
      <c r="D37" s="13">
        <v>961900.0</v>
      </c>
      <c r="E37" s="7">
        <v>0.75</v>
      </c>
      <c r="F37" s="7">
        <v>2.54</v>
      </c>
      <c r="G37" s="7">
        <v>1253.0</v>
      </c>
      <c r="H37" s="7">
        <v>99.4</v>
      </c>
    </row>
    <row r="38">
      <c r="A38" s="8">
        <v>2024.0</v>
      </c>
      <c r="B38" s="1" t="s">
        <v>35</v>
      </c>
      <c r="C38" s="12" t="s">
        <v>35</v>
      </c>
      <c r="D38" s="13">
        <v>1004800.0</v>
      </c>
      <c r="E38" s="7">
        <v>0.77</v>
      </c>
      <c r="F38" s="7">
        <v>2.65</v>
      </c>
      <c r="G38" s="7">
        <v>1010.0</v>
      </c>
      <c r="H38" s="7">
        <v>99.2</v>
      </c>
    </row>
    <row r="39">
      <c r="A39" s="8">
        <v>2024.0</v>
      </c>
      <c r="B39" s="1" t="s">
        <v>36</v>
      </c>
      <c r="C39" s="12" t="s">
        <v>36</v>
      </c>
      <c r="D39" s="13">
        <v>1370800.0</v>
      </c>
      <c r="E39" s="7">
        <v>0.89</v>
      </c>
      <c r="F39" s="7">
        <v>3.62</v>
      </c>
      <c r="G39" s="7">
        <v>871.0</v>
      </c>
      <c r="H39" s="7">
        <v>99.7</v>
      </c>
    </row>
    <row r="40">
      <c r="A40" s="8">
        <v>2024.0</v>
      </c>
      <c r="B40" s="1" t="s">
        <v>37</v>
      </c>
      <c r="C40" s="12" t="s">
        <v>37</v>
      </c>
      <c r="D40" s="13">
        <v>883300.0</v>
      </c>
      <c r="E40" s="7">
        <v>1.06</v>
      </c>
      <c r="F40" s="7">
        <v>2.33</v>
      </c>
      <c r="G40" s="7">
        <v>2077.0</v>
      </c>
      <c r="H40" s="7">
        <v>99.5</v>
      </c>
    </row>
    <row r="41">
      <c r="A41" s="8">
        <v>2024.0</v>
      </c>
      <c r="B41" s="1" t="s">
        <v>38</v>
      </c>
      <c r="C41" s="12" t="s">
        <v>38</v>
      </c>
      <c r="D41" s="13">
        <v>1232900.0</v>
      </c>
      <c r="E41" s="7">
        <v>1.02</v>
      </c>
      <c r="F41" s="7">
        <v>3.25</v>
      </c>
      <c r="G41" s="7">
        <v>1228.0</v>
      </c>
      <c r="H41" s="7">
        <v>101.2</v>
      </c>
    </row>
    <row r="42">
      <c r="A42" s="8">
        <v>2024.0</v>
      </c>
      <c r="B42" s="1" t="s">
        <v>39</v>
      </c>
      <c r="C42" s="12" t="s">
        <v>39</v>
      </c>
      <c r="D42" s="13">
        <v>1253000.0</v>
      </c>
      <c r="E42" s="7">
        <v>1.07</v>
      </c>
      <c r="F42" s="7">
        <v>3.31</v>
      </c>
      <c r="G42" s="7">
        <v>1396.0</v>
      </c>
      <c r="H42" s="7">
        <v>101.8</v>
      </c>
    </row>
    <row r="43">
      <c r="A43" s="8">
        <v>2024.0</v>
      </c>
      <c r="B43" s="1" t="s">
        <v>40</v>
      </c>
      <c r="C43" s="12" t="s">
        <v>40</v>
      </c>
      <c r="D43" s="13">
        <v>1089800.0</v>
      </c>
      <c r="E43" s="7">
        <v>0.9</v>
      </c>
      <c r="F43" s="7">
        <v>2.88</v>
      </c>
      <c r="G43" s="7">
        <v>1147.0</v>
      </c>
      <c r="H43" s="7">
        <v>99.1</v>
      </c>
    </row>
    <row r="44">
      <c r="A44" s="8">
        <v>2024.0</v>
      </c>
      <c r="B44" s="1" t="s">
        <v>41</v>
      </c>
      <c r="C44" s="12" t="s">
        <v>41</v>
      </c>
      <c r="D44" s="13">
        <v>814900.0</v>
      </c>
      <c r="E44" s="7">
        <v>0.84</v>
      </c>
      <c r="F44" s="7">
        <v>2.15</v>
      </c>
      <c r="G44" s="7">
        <v>936.0</v>
      </c>
      <c r="H44" s="7">
        <v>100.8</v>
      </c>
    </row>
    <row r="45">
      <c r="A45" s="8">
        <v>2024.0</v>
      </c>
      <c r="B45" s="1" t="s">
        <v>42</v>
      </c>
      <c r="C45" s="12" t="s">
        <v>42</v>
      </c>
      <c r="D45" s="13">
        <v>1064800.0</v>
      </c>
      <c r="E45" s="7">
        <v>1.2</v>
      </c>
      <c r="F45" s="7">
        <v>2.81</v>
      </c>
      <c r="G45" s="7">
        <v>1062.0</v>
      </c>
      <c r="H45" s="7">
        <v>101.6</v>
      </c>
    </row>
    <row r="46">
      <c r="A46" s="8">
        <v>2024.0</v>
      </c>
      <c r="B46" s="1" t="s">
        <v>43</v>
      </c>
      <c r="C46" s="12" t="s">
        <v>43</v>
      </c>
      <c r="D46" s="13">
        <v>1019000.0</v>
      </c>
      <c r="E46" s="7">
        <v>1.21</v>
      </c>
      <c r="F46" s="7">
        <v>2.69</v>
      </c>
      <c r="G46" s="7">
        <v>1219.0</v>
      </c>
      <c r="H46" s="7">
        <v>103.3</v>
      </c>
    </row>
    <row r="47">
      <c r="A47" s="8">
        <v>2024.0</v>
      </c>
      <c r="B47" s="1" t="s">
        <v>44</v>
      </c>
      <c r="C47" s="12" t="s">
        <v>44</v>
      </c>
      <c r="D47" s="13">
        <v>1541700.0</v>
      </c>
      <c r="E47" s="7">
        <v>1.25</v>
      </c>
      <c r="F47" s="7">
        <v>4.07</v>
      </c>
      <c r="G47" s="7">
        <v>1382.0</v>
      </c>
      <c r="H47" s="7">
        <v>102.6</v>
      </c>
    </row>
    <row r="48">
      <c r="A48" s="8">
        <v>2024.0</v>
      </c>
      <c r="B48" s="1" t="s">
        <v>45</v>
      </c>
      <c r="C48" s="12" t="s">
        <v>45</v>
      </c>
      <c r="D48" s="13">
        <v>1674800.0</v>
      </c>
      <c r="E48" s="7">
        <v>1.28</v>
      </c>
      <c r="F48" s="7">
        <v>4.42</v>
      </c>
      <c r="G48" s="7">
        <v>1702.0</v>
      </c>
      <c r="H48" s="7">
        <v>102.7</v>
      </c>
    </row>
    <row r="49">
      <c r="A49" s="8">
        <v>2024.0</v>
      </c>
      <c r="B49" s="1" t="s">
        <v>46</v>
      </c>
      <c r="C49" s="12" t="s">
        <v>46</v>
      </c>
      <c r="D49" s="13">
        <v>2065500.0</v>
      </c>
      <c r="E49" s="7">
        <v>1.16</v>
      </c>
      <c r="F49" s="7">
        <v>5.45</v>
      </c>
      <c r="G49" s="7">
        <v>1167.0</v>
      </c>
      <c r="H49" s="7">
        <v>102.8</v>
      </c>
    </row>
    <row r="50">
      <c r="A50" s="8">
        <v>2024.0</v>
      </c>
      <c r="B50" s="1" t="s">
        <v>47</v>
      </c>
      <c r="C50" s="12" t="s">
        <v>47</v>
      </c>
      <c r="D50" s="13">
        <v>122400.0</v>
      </c>
      <c r="E50" s="7">
        <v>0.24</v>
      </c>
      <c r="F50" s="7">
        <v>0.32</v>
      </c>
      <c r="G50" s="7">
        <v>6600.0</v>
      </c>
      <c r="H50" s="7">
        <v>98.5</v>
      </c>
    </row>
    <row r="51">
      <c r="A51" s="8">
        <v>2024.0</v>
      </c>
      <c r="B51" s="1" t="s">
        <v>48</v>
      </c>
      <c r="C51" s="12" t="s">
        <v>48</v>
      </c>
      <c r="D51" s="13">
        <v>528000.0</v>
      </c>
      <c r="E51" s="7">
        <v>0.26</v>
      </c>
      <c r="F51" s="7">
        <v>1.39</v>
      </c>
      <c r="G51" s="7">
        <v>11283.0</v>
      </c>
      <c r="H51" s="7">
        <v>96.9</v>
      </c>
    </row>
    <row r="52">
      <c r="A52" s="8">
        <v>2024.0</v>
      </c>
      <c r="B52" s="1" t="s">
        <v>49</v>
      </c>
      <c r="C52" s="12" t="s">
        <v>49</v>
      </c>
      <c r="D52" s="13">
        <v>201300.0</v>
      </c>
      <c r="E52" s="7">
        <v>1.24</v>
      </c>
      <c r="F52" s="7">
        <v>0.53</v>
      </c>
      <c r="G52" s="7">
        <v>3661.0</v>
      </c>
      <c r="H52" s="7">
        <v>97.5</v>
      </c>
    </row>
    <row r="53">
      <c r="A53" s="8">
        <v>2024.0</v>
      </c>
      <c r="B53" s="1" t="s">
        <v>50</v>
      </c>
      <c r="C53" s="12" t="s">
        <v>50</v>
      </c>
      <c r="D53" s="13">
        <v>1708800.0</v>
      </c>
      <c r="E53" s="7">
        <v>0.89</v>
      </c>
      <c r="F53" s="7">
        <v>4.51</v>
      </c>
      <c r="G53" s="7">
        <v>4572.0</v>
      </c>
      <c r="H53" s="7">
        <v>97.9</v>
      </c>
    </row>
    <row r="54">
      <c r="A54" s="6">
        <v>2023.0</v>
      </c>
      <c r="B54" s="1" t="s">
        <v>7</v>
      </c>
      <c r="C54" s="10" t="s">
        <v>7</v>
      </c>
      <c r="D54" s="10">
        <v>2007800.0</v>
      </c>
      <c r="E54" s="10">
        <v>1.04</v>
      </c>
      <c r="F54" s="10">
        <v>5.35</v>
      </c>
      <c r="G54" s="10">
        <v>893.0</v>
      </c>
      <c r="H54" s="10">
        <v>101.5</v>
      </c>
    </row>
    <row r="55">
      <c r="A55" s="6">
        <v>2023.0</v>
      </c>
      <c r="B55" s="1" t="s">
        <v>10</v>
      </c>
      <c r="C55" s="10" t="s">
        <v>10</v>
      </c>
      <c r="D55" s="10">
        <v>1397600.0</v>
      </c>
      <c r="E55" s="10">
        <v>1.28</v>
      </c>
      <c r="F55" s="10">
        <v>3.72</v>
      </c>
      <c r="G55" s="10">
        <v>1048.0</v>
      </c>
      <c r="H55" s="10">
        <v>102.8</v>
      </c>
    </row>
    <row r="56">
      <c r="A56" s="6">
        <v>2023.0</v>
      </c>
      <c r="B56" s="1" t="s">
        <v>15</v>
      </c>
      <c r="C56" s="10" t="s">
        <v>15</v>
      </c>
      <c r="D56" s="10">
        <v>788300.0</v>
      </c>
      <c r="E56" s="10">
        <v>0.9</v>
      </c>
      <c r="F56" s="10">
        <v>2.1</v>
      </c>
      <c r="G56" s="10">
        <v>762.0</v>
      </c>
      <c r="H56" s="10">
        <v>100.3</v>
      </c>
    </row>
    <row r="57">
      <c r="A57" s="6">
        <v>2023.0</v>
      </c>
      <c r="B57" s="1" t="s">
        <v>22</v>
      </c>
      <c r="C57" s="10" t="s">
        <v>22</v>
      </c>
      <c r="D57" s="10">
        <v>909700.0</v>
      </c>
      <c r="E57" s="10">
        <v>1.27</v>
      </c>
      <c r="F57" s="10">
        <v>2.42</v>
      </c>
      <c r="G57" s="10">
        <v>924.0</v>
      </c>
      <c r="H57" s="10">
        <v>103.7</v>
      </c>
    </row>
    <row r="58">
      <c r="A58" s="6">
        <v>2023.0</v>
      </c>
      <c r="B58" s="1" t="s">
        <v>26</v>
      </c>
      <c r="C58" s="10" t="s">
        <v>26</v>
      </c>
      <c r="D58" s="10">
        <v>1330700.0</v>
      </c>
      <c r="E58" s="10">
        <v>0.87</v>
      </c>
      <c r="F58" s="10">
        <v>3.54</v>
      </c>
      <c r="G58" s="10">
        <v>1226.0</v>
      </c>
      <c r="H58" s="10">
        <v>101.2</v>
      </c>
    </row>
    <row r="59">
      <c r="A59" s="6">
        <v>2023.0</v>
      </c>
      <c r="B59" s="1" t="s">
        <v>29</v>
      </c>
      <c r="C59" s="10" t="s">
        <v>29</v>
      </c>
      <c r="D59" s="10">
        <v>1090100.0</v>
      </c>
      <c r="E59" s="10">
        <v>0.95</v>
      </c>
      <c r="F59" s="10">
        <v>2.9</v>
      </c>
      <c r="G59" s="10">
        <v>1008.0</v>
      </c>
      <c r="H59" s="10">
        <v>101.0</v>
      </c>
    </row>
    <row r="60">
      <c r="A60" s="6">
        <v>2023.0</v>
      </c>
      <c r="B60" s="1" t="s">
        <v>31</v>
      </c>
      <c r="C60" s="10" t="s">
        <v>31</v>
      </c>
      <c r="D60" s="10">
        <v>1284400.0</v>
      </c>
      <c r="E60" s="10">
        <v>0.71</v>
      </c>
      <c r="F60" s="10">
        <v>3.42</v>
      </c>
      <c r="G60" s="10">
        <v>1834.0</v>
      </c>
      <c r="H60" s="10">
        <v>99.1</v>
      </c>
    </row>
    <row r="61">
      <c r="A61" s="6">
        <v>2023.0</v>
      </c>
      <c r="B61" s="1" t="s">
        <v>32</v>
      </c>
      <c r="C61" s="10" t="s">
        <v>32</v>
      </c>
      <c r="D61" s="10">
        <v>932700.0</v>
      </c>
      <c r="E61" s="10">
        <v>1.02</v>
      </c>
      <c r="F61" s="10">
        <v>2.48</v>
      </c>
      <c r="G61" s="10">
        <v>1999.0</v>
      </c>
      <c r="H61" s="10">
        <v>100.0</v>
      </c>
    </row>
    <row r="62">
      <c r="A62" s="6">
        <v>2023.0</v>
      </c>
      <c r="B62" s="1" t="s">
        <v>33</v>
      </c>
      <c r="C62" s="10" t="s">
        <v>33</v>
      </c>
      <c r="D62" s="10">
        <v>1051100.0</v>
      </c>
      <c r="E62" s="10">
        <v>0.31</v>
      </c>
      <c r="F62" s="10">
        <v>2.8</v>
      </c>
      <c r="G62" s="10">
        <v>586.0</v>
      </c>
      <c r="H62" s="10">
        <v>99.6</v>
      </c>
    </row>
    <row r="63">
      <c r="A63" s="6">
        <v>2023.0</v>
      </c>
      <c r="B63" s="1" t="s">
        <v>34</v>
      </c>
      <c r="C63" s="10" t="s">
        <v>34</v>
      </c>
      <c r="D63" s="10">
        <v>955100.0</v>
      </c>
      <c r="E63" s="10">
        <v>0.77</v>
      </c>
      <c r="F63" s="10">
        <v>2.54</v>
      </c>
      <c r="G63" s="10">
        <v>1244.0</v>
      </c>
      <c r="H63" s="10">
        <v>99.5</v>
      </c>
    </row>
    <row r="64">
      <c r="A64" s="6">
        <v>2023.0</v>
      </c>
      <c r="B64" s="1" t="s">
        <v>35</v>
      </c>
      <c r="C64" s="10" t="s">
        <v>35</v>
      </c>
      <c r="D64" s="10">
        <v>997500.0</v>
      </c>
      <c r="E64" s="10">
        <v>0.78</v>
      </c>
      <c r="F64" s="10">
        <v>2.66</v>
      </c>
      <c r="G64" s="10">
        <v>1003.0</v>
      </c>
      <c r="H64" s="10">
        <v>99.3</v>
      </c>
    </row>
    <row r="65">
      <c r="A65" s="6">
        <v>2023.0</v>
      </c>
      <c r="B65" s="1" t="s">
        <v>36</v>
      </c>
      <c r="C65" s="10" t="s">
        <v>36</v>
      </c>
      <c r="D65" s="10">
        <v>1359400.0</v>
      </c>
      <c r="E65" s="10">
        <v>0.91</v>
      </c>
      <c r="F65" s="10">
        <v>3.62</v>
      </c>
      <c r="G65" s="10">
        <v>864.0</v>
      </c>
      <c r="H65" s="10">
        <v>99.6</v>
      </c>
    </row>
    <row r="66">
      <c r="A66" s="6">
        <v>2023.0</v>
      </c>
      <c r="B66" s="1" t="s">
        <v>37</v>
      </c>
      <c r="C66" s="10" t="s">
        <v>37</v>
      </c>
      <c r="D66" s="10">
        <v>874600.0</v>
      </c>
      <c r="E66" s="10">
        <v>1.08</v>
      </c>
      <c r="F66" s="10">
        <v>2.33</v>
      </c>
      <c r="G66" s="10">
        <v>2057.0</v>
      </c>
      <c r="H66" s="10">
        <v>99.5</v>
      </c>
    </row>
    <row r="67">
      <c r="A67" s="6">
        <v>2023.0</v>
      </c>
      <c r="B67" s="1" t="s">
        <v>38</v>
      </c>
      <c r="C67" s="10" t="s">
        <v>38</v>
      </c>
      <c r="D67" s="10">
        <v>1221100.0</v>
      </c>
      <c r="E67" s="10">
        <v>1.04</v>
      </c>
      <c r="F67" s="10">
        <v>3.25</v>
      </c>
      <c r="G67" s="10">
        <v>1216.0</v>
      </c>
      <c r="H67" s="10">
        <v>101.3</v>
      </c>
    </row>
    <row r="68">
      <c r="A68" s="6">
        <v>2023.0</v>
      </c>
      <c r="B68" s="1" t="s">
        <v>39</v>
      </c>
      <c r="C68" s="10" t="s">
        <v>39</v>
      </c>
      <c r="D68" s="10">
        <v>1240500.0</v>
      </c>
      <c r="E68" s="10">
        <v>1.09</v>
      </c>
      <c r="F68" s="10">
        <v>3.3</v>
      </c>
      <c r="G68" s="10">
        <v>1382.0</v>
      </c>
      <c r="H68" s="10">
        <v>101.8</v>
      </c>
    </row>
    <row r="69">
      <c r="A69" s="6">
        <v>2023.0</v>
      </c>
      <c r="B69" s="1" t="s">
        <v>40</v>
      </c>
      <c r="C69" s="10" t="s">
        <v>40</v>
      </c>
      <c r="D69" s="10">
        <v>1080700.0</v>
      </c>
      <c r="E69" s="10">
        <v>0.91</v>
      </c>
      <c r="F69" s="10">
        <v>2.88</v>
      </c>
      <c r="G69" s="10">
        <v>1137.0</v>
      </c>
      <c r="H69" s="10">
        <v>99.2</v>
      </c>
    </row>
    <row r="70">
      <c r="A70" s="6">
        <v>2023.0</v>
      </c>
      <c r="B70" s="1" t="s">
        <v>41</v>
      </c>
      <c r="C70" s="10" t="s">
        <v>41</v>
      </c>
      <c r="D70" s="10">
        <v>808500.0</v>
      </c>
      <c r="E70" s="10">
        <v>0.86</v>
      </c>
      <c r="F70" s="10">
        <v>2.15</v>
      </c>
      <c r="G70" s="10">
        <v>929.0</v>
      </c>
      <c r="H70" s="10">
        <v>100.9</v>
      </c>
    </row>
    <row r="71">
      <c r="A71" s="6">
        <v>2023.0</v>
      </c>
      <c r="B71" s="1" t="s">
        <v>42</v>
      </c>
      <c r="C71" s="10" t="s">
        <v>42</v>
      </c>
      <c r="D71" s="10">
        <v>1052800.0</v>
      </c>
      <c r="E71" s="10">
        <v>1.22</v>
      </c>
      <c r="F71" s="10">
        <v>2.8</v>
      </c>
      <c r="G71" s="10">
        <v>1050.0</v>
      </c>
      <c r="H71" s="10">
        <v>101.7</v>
      </c>
    </row>
    <row r="72">
      <c r="A72" s="6">
        <v>2023.0</v>
      </c>
      <c r="B72" s="1" t="s">
        <v>43</v>
      </c>
      <c r="C72" s="10" t="s">
        <v>43</v>
      </c>
      <c r="D72" s="10">
        <v>1007400.0</v>
      </c>
      <c r="E72" s="10">
        <v>1.23</v>
      </c>
      <c r="F72" s="10">
        <v>2.68</v>
      </c>
      <c r="G72" s="10">
        <v>1205.0</v>
      </c>
      <c r="H72" s="10">
        <v>103.2</v>
      </c>
    </row>
    <row r="73">
      <c r="A73" s="6">
        <v>2023.0</v>
      </c>
      <c r="B73" s="1" t="s">
        <v>44</v>
      </c>
      <c r="C73" s="10" t="s">
        <v>44</v>
      </c>
      <c r="D73" s="10">
        <v>1523600.0</v>
      </c>
      <c r="E73" s="10">
        <v>1.27</v>
      </c>
      <c r="F73" s="10">
        <v>4.06</v>
      </c>
      <c r="G73" s="10">
        <v>1366.0</v>
      </c>
      <c r="H73" s="10">
        <v>102.7</v>
      </c>
    </row>
    <row r="74">
      <c r="A74" s="6">
        <v>2023.0</v>
      </c>
      <c r="B74" s="1" t="s">
        <v>45</v>
      </c>
      <c r="C74" s="10" t="s">
        <v>45</v>
      </c>
      <c r="D74" s="10">
        <v>1654800.0</v>
      </c>
      <c r="E74" s="10">
        <v>1.3</v>
      </c>
      <c r="F74" s="10">
        <v>4.41</v>
      </c>
      <c r="G74" s="10">
        <v>1682.0</v>
      </c>
      <c r="H74" s="10">
        <v>102.8</v>
      </c>
    </row>
    <row r="75">
      <c r="A75" s="6">
        <v>2023.0</v>
      </c>
      <c r="B75" s="1" t="s">
        <v>46</v>
      </c>
      <c r="C75" s="10" t="s">
        <v>46</v>
      </c>
      <c r="D75" s="10">
        <v>2043100.0</v>
      </c>
      <c r="E75" s="10">
        <v>1.18</v>
      </c>
      <c r="F75" s="10">
        <v>5.44</v>
      </c>
      <c r="G75" s="10">
        <v>1154.0</v>
      </c>
      <c r="H75" s="10">
        <v>102.8</v>
      </c>
    </row>
    <row r="76">
      <c r="A76" s="6">
        <v>2023.0</v>
      </c>
      <c r="B76" s="1" t="s">
        <v>47</v>
      </c>
      <c r="C76" s="10" t="s">
        <v>47</v>
      </c>
      <c r="D76" s="10">
        <v>122200.0</v>
      </c>
      <c r="E76" s="10">
        <v>0.25</v>
      </c>
      <c r="F76" s="10">
        <v>0.33</v>
      </c>
      <c r="G76" s="10">
        <v>6585.0</v>
      </c>
      <c r="H76" s="10">
        <v>98.5</v>
      </c>
    </row>
    <row r="77">
      <c r="A77" s="6">
        <v>2023.0</v>
      </c>
      <c r="B77" s="1" t="s">
        <v>48</v>
      </c>
      <c r="C77" s="10" t="s">
        <v>48</v>
      </c>
      <c r="D77" s="10">
        <v>526900.0</v>
      </c>
      <c r="E77" s="10">
        <v>0.28</v>
      </c>
      <c r="F77" s="10">
        <v>1.4</v>
      </c>
      <c r="G77" s="10">
        <v>11258.0</v>
      </c>
      <c r="H77" s="10">
        <v>96.9</v>
      </c>
    </row>
    <row r="78">
      <c r="A78" s="6">
        <v>2023.0</v>
      </c>
      <c r="B78" s="1" t="s">
        <v>49</v>
      </c>
      <c r="C78" s="10" t="s">
        <v>49</v>
      </c>
      <c r="D78" s="10">
        <v>198900.0</v>
      </c>
      <c r="E78" s="10">
        <v>1.25</v>
      </c>
      <c r="F78" s="10">
        <v>0.53</v>
      </c>
      <c r="G78" s="10">
        <v>3618.0</v>
      </c>
      <c r="H78" s="10">
        <v>97.6</v>
      </c>
    </row>
    <row r="79">
      <c r="A79" s="6">
        <v>2023.0</v>
      </c>
      <c r="B79" s="1" t="s">
        <v>50</v>
      </c>
      <c r="C79" s="10" t="s">
        <v>50</v>
      </c>
      <c r="D79" s="10">
        <v>1694700.0</v>
      </c>
      <c r="E79" s="10">
        <v>0.9</v>
      </c>
      <c r="F79" s="10">
        <v>4.51</v>
      </c>
      <c r="G79" s="10">
        <v>4534.0</v>
      </c>
      <c r="H79" s="10">
        <v>97.9</v>
      </c>
    </row>
    <row r="80">
      <c r="B80" s="10"/>
      <c r="C80" s="10"/>
      <c r="D80" s="10"/>
      <c r="E80" s="10"/>
      <c r="F80" s="10"/>
      <c r="G80" s="10"/>
      <c r="H80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" t="s">
        <v>0</v>
      </c>
      <c r="B1" s="14" t="s">
        <v>1</v>
      </c>
      <c r="C1" s="14" t="s">
        <v>82</v>
      </c>
      <c r="D1" s="14" t="s">
        <v>83</v>
      </c>
      <c r="E1" s="14" t="s">
        <v>84</v>
      </c>
      <c r="F1" s="14" t="s">
        <v>85</v>
      </c>
      <c r="G1" s="14" t="s">
        <v>86</v>
      </c>
      <c r="H1" s="14" t="s">
        <v>87</v>
      </c>
      <c r="I1" s="14" t="s">
        <v>88</v>
      </c>
      <c r="J1" s="14" t="s">
        <v>89</v>
      </c>
      <c r="K1" s="14" t="s">
        <v>90</v>
      </c>
      <c r="L1" s="14" t="s">
        <v>91</v>
      </c>
      <c r="M1" s="14" t="s">
        <v>92</v>
      </c>
      <c r="O1" s="14" t="s">
        <v>84</v>
      </c>
      <c r="P1" s="14" t="s">
        <v>85</v>
      </c>
      <c r="Q1" s="14" t="s">
        <v>86</v>
      </c>
      <c r="R1" s="14" t="s">
        <v>87</v>
      </c>
      <c r="S1" s="14" t="s">
        <v>88</v>
      </c>
      <c r="T1" s="14" t="s">
        <v>89</v>
      </c>
      <c r="U1" s="14" t="s">
        <v>90</v>
      </c>
      <c r="V1" s="14" t="s">
        <v>91</v>
      </c>
      <c r="W1" s="14" t="s">
        <v>92</v>
      </c>
    </row>
    <row r="2">
      <c r="A2" s="15">
        <v>2023.0</v>
      </c>
      <c r="B2" s="15">
        <v>2.0</v>
      </c>
      <c r="C2" s="14" t="s">
        <v>6</v>
      </c>
      <c r="D2" s="14" t="s">
        <v>7</v>
      </c>
      <c r="E2" s="15">
        <v>57.67</v>
      </c>
      <c r="F2" s="15">
        <v>1.71</v>
      </c>
      <c r="G2" s="15">
        <v>9.71</v>
      </c>
      <c r="H2" s="15">
        <v>16.42</v>
      </c>
      <c r="I2" s="15">
        <v>1.33</v>
      </c>
      <c r="J2" s="15">
        <v>1.25</v>
      </c>
      <c r="K2" s="15">
        <v>1.07</v>
      </c>
      <c r="L2" s="15">
        <v>1.17</v>
      </c>
      <c r="M2" s="15">
        <v>9.67</v>
      </c>
      <c r="N2" s="4">
        <v>360867.9</v>
      </c>
      <c r="O2" s="1">
        <f t="shared" ref="O2:W2" si="1">E2*$N$2/100</f>
        <v>208112.5179</v>
      </c>
      <c r="P2" s="1">
        <f t="shared" si="1"/>
        <v>6170.84109</v>
      </c>
      <c r="Q2" s="1">
        <f t="shared" si="1"/>
        <v>35040.27309</v>
      </c>
      <c r="R2" s="1">
        <f t="shared" si="1"/>
        <v>59254.50918</v>
      </c>
      <c r="S2" s="1">
        <f t="shared" si="1"/>
        <v>4799.54307</v>
      </c>
      <c r="T2" s="1">
        <f t="shared" si="1"/>
        <v>4510.84875</v>
      </c>
      <c r="U2" s="1">
        <f t="shared" si="1"/>
        <v>3861.28653</v>
      </c>
      <c r="V2" s="1">
        <f t="shared" si="1"/>
        <v>4222.15443</v>
      </c>
      <c r="W2" s="1">
        <f t="shared" si="1"/>
        <v>34895.92593</v>
      </c>
    </row>
    <row r="3">
      <c r="A3" s="15">
        <v>2023.0</v>
      </c>
      <c r="B3" s="15">
        <v>2.0</v>
      </c>
      <c r="C3" s="14" t="s">
        <v>6</v>
      </c>
      <c r="D3" s="14" t="s">
        <v>10</v>
      </c>
      <c r="E3" s="15">
        <v>35.1</v>
      </c>
      <c r="F3" s="15">
        <v>13.02</v>
      </c>
      <c r="G3" s="15">
        <v>10.77</v>
      </c>
      <c r="H3" s="15">
        <v>12.57</v>
      </c>
      <c r="I3" s="15">
        <v>0.36</v>
      </c>
      <c r="J3" s="15">
        <v>0.46</v>
      </c>
      <c r="K3" s="15">
        <v>0.29</v>
      </c>
      <c r="L3" s="15">
        <v>0.41</v>
      </c>
      <c r="M3" s="15">
        <v>27.02</v>
      </c>
      <c r="N3" s="4">
        <v>263060.1</v>
      </c>
      <c r="O3" s="1">
        <f t="shared" ref="O3:O79" si="2">E3*N3/100</f>
        <v>92334.0951</v>
      </c>
      <c r="P3" s="1">
        <f t="shared" ref="P3:P79" si="3">F3*N3/100</f>
        <v>34250.42502</v>
      </c>
      <c r="Q3" s="1">
        <f t="shared" ref="Q3:Q79" si="4">G3*N3/100</f>
        <v>28331.57277</v>
      </c>
      <c r="R3" s="1">
        <f t="shared" ref="R3:R79" si="5">H3*N3/100</f>
        <v>33066.65457</v>
      </c>
      <c r="S3" s="1">
        <f t="shared" ref="S3:S79" si="6">I3*N3/100</f>
        <v>947.01636</v>
      </c>
      <c r="T3" s="1">
        <f t="shared" ref="T3:T79" si="7">J3*N3/100</f>
        <v>1210.07646</v>
      </c>
      <c r="U3" s="1">
        <f t="shared" ref="U3:U79" si="8">K3*N3/100</f>
        <v>762.87429</v>
      </c>
      <c r="V3" s="1">
        <f t="shared" ref="V3:V79" si="9">L3*N3/100</f>
        <v>1078.54641</v>
      </c>
      <c r="W3" s="1">
        <f t="shared" ref="W3:W79" si="10">M3*N3/100</f>
        <v>71078.83902</v>
      </c>
    </row>
    <row r="4">
      <c r="A4" s="15">
        <v>2023.0</v>
      </c>
      <c r="B4" s="15">
        <v>2.0</v>
      </c>
      <c r="C4" s="14" t="s">
        <v>6</v>
      </c>
      <c r="D4" s="14" t="s">
        <v>15</v>
      </c>
      <c r="E4" s="15">
        <v>15.2</v>
      </c>
      <c r="F4" s="15">
        <v>52.6</v>
      </c>
      <c r="G4" s="15">
        <v>2.3</v>
      </c>
      <c r="H4" s="15">
        <v>14.4</v>
      </c>
      <c r="I4" s="15">
        <v>1.2</v>
      </c>
      <c r="J4" s="15">
        <v>1.4</v>
      </c>
      <c r="K4" s="15">
        <v>0.1</v>
      </c>
      <c r="L4" s="15">
        <v>1.4</v>
      </c>
      <c r="M4" s="15">
        <v>11.4</v>
      </c>
      <c r="N4" s="4">
        <v>118209.0</v>
      </c>
      <c r="O4" s="1">
        <f t="shared" si="2"/>
        <v>17967.768</v>
      </c>
      <c r="P4" s="1">
        <f t="shared" si="3"/>
        <v>62177.934</v>
      </c>
      <c r="Q4" s="1">
        <f t="shared" si="4"/>
        <v>2718.807</v>
      </c>
      <c r="R4" s="1">
        <f t="shared" si="5"/>
        <v>17022.096</v>
      </c>
      <c r="S4" s="1">
        <f t="shared" si="6"/>
        <v>1418.508</v>
      </c>
      <c r="T4" s="1">
        <f t="shared" si="7"/>
        <v>1654.926</v>
      </c>
      <c r="U4" s="1">
        <f t="shared" si="8"/>
        <v>118.209</v>
      </c>
      <c r="V4" s="1">
        <f t="shared" si="9"/>
        <v>1654.926</v>
      </c>
      <c r="W4" s="1">
        <f t="shared" si="10"/>
        <v>13475.826</v>
      </c>
    </row>
    <row r="5">
      <c r="A5" s="15">
        <v>2023.0</v>
      </c>
      <c r="B5" s="15">
        <v>2.0</v>
      </c>
      <c r="C5" s="14" t="s">
        <v>6</v>
      </c>
      <c r="D5" s="14" t="s">
        <v>22</v>
      </c>
      <c r="E5" s="15">
        <v>68.93</v>
      </c>
      <c r="F5" s="15">
        <v>1.5</v>
      </c>
      <c r="G5" s="15">
        <v>12.57</v>
      </c>
      <c r="H5" s="15">
        <v>10.11</v>
      </c>
      <c r="I5" s="15">
        <v>3.5</v>
      </c>
      <c r="J5" s="15">
        <v>0.6</v>
      </c>
      <c r="K5" s="15">
        <v>0.31</v>
      </c>
      <c r="L5" s="15">
        <v>1.14</v>
      </c>
      <c r="M5" s="15">
        <v>1.34</v>
      </c>
      <c r="N5" s="4">
        <v>134393.9</v>
      </c>
      <c r="O5" s="1">
        <f t="shared" si="2"/>
        <v>92637.71527</v>
      </c>
      <c r="P5" s="1">
        <f t="shared" si="3"/>
        <v>2015.9085</v>
      </c>
      <c r="Q5" s="1">
        <f t="shared" si="4"/>
        <v>16893.31323</v>
      </c>
      <c r="R5" s="1">
        <f t="shared" si="5"/>
        <v>13587.22329</v>
      </c>
      <c r="S5" s="1">
        <f t="shared" si="6"/>
        <v>4703.7865</v>
      </c>
      <c r="T5" s="1">
        <f t="shared" si="7"/>
        <v>806.3634</v>
      </c>
      <c r="U5" s="1">
        <f t="shared" si="8"/>
        <v>416.62109</v>
      </c>
      <c r="V5" s="1">
        <f t="shared" si="9"/>
        <v>1532.09046</v>
      </c>
      <c r="W5" s="1">
        <f t="shared" si="10"/>
        <v>1800.87826</v>
      </c>
    </row>
    <row r="6">
      <c r="A6" s="15">
        <v>2023.0</v>
      </c>
      <c r="B6" s="15">
        <v>2.0</v>
      </c>
      <c r="C6" s="14" t="s">
        <v>6</v>
      </c>
      <c r="D6" s="14" t="s">
        <v>26</v>
      </c>
      <c r="E6" s="15">
        <v>45.41</v>
      </c>
      <c r="F6" s="15">
        <v>6.71</v>
      </c>
      <c r="G6" s="15">
        <v>4.43</v>
      </c>
      <c r="H6" s="15">
        <v>24.87</v>
      </c>
      <c r="I6" s="15">
        <v>0.61</v>
      </c>
      <c r="J6" s="15">
        <v>2.15</v>
      </c>
      <c r="K6" s="15">
        <v>0.68</v>
      </c>
      <c r="L6" s="15">
        <v>1.32</v>
      </c>
      <c r="M6" s="15">
        <v>13.82</v>
      </c>
      <c r="N6" s="4">
        <v>245583.3</v>
      </c>
      <c r="O6" s="1">
        <f t="shared" si="2"/>
        <v>111519.3765</v>
      </c>
      <c r="P6" s="1">
        <f t="shared" si="3"/>
        <v>16478.63943</v>
      </c>
      <c r="Q6" s="1">
        <f t="shared" si="4"/>
        <v>10879.34019</v>
      </c>
      <c r="R6" s="1">
        <f t="shared" si="5"/>
        <v>61076.56671</v>
      </c>
      <c r="S6" s="1">
        <f t="shared" si="6"/>
        <v>1498.05813</v>
      </c>
      <c r="T6" s="1">
        <f t="shared" si="7"/>
        <v>5280.04095</v>
      </c>
      <c r="U6" s="1">
        <f t="shared" si="8"/>
        <v>1669.96644</v>
      </c>
      <c r="V6" s="1">
        <f t="shared" si="9"/>
        <v>3241.69956</v>
      </c>
      <c r="W6" s="1">
        <f t="shared" si="10"/>
        <v>33939.61206</v>
      </c>
    </row>
    <row r="7">
      <c r="A7" s="15">
        <v>2023.0</v>
      </c>
      <c r="B7" s="15">
        <v>2.0</v>
      </c>
      <c r="C7" s="14" t="s">
        <v>6</v>
      </c>
      <c r="D7" s="14" t="s">
        <v>29</v>
      </c>
      <c r="E7" s="15">
        <v>32.18</v>
      </c>
      <c r="F7" s="15">
        <v>11.85</v>
      </c>
      <c r="G7" s="15">
        <v>9.37</v>
      </c>
      <c r="H7" s="15">
        <v>37.47</v>
      </c>
      <c r="I7" s="15">
        <v>5.39</v>
      </c>
      <c r="J7" s="15">
        <v>0.67</v>
      </c>
      <c r="K7" s="15">
        <v>0.7</v>
      </c>
      <c r="L7" s="15">
        <v>0.7</v>
      </c>
      <c r="M7" s="15">
        <v>1.67</v>
      </c>
      <c r="N7" s="4">
        <v>110091.3</v>
      </c>
      <c r="O7" s="1">
        <f t="shared" si="2"/>
        <v>35427.38034</v>
      </c>
      <c r="P7" s="1">
        <f t="shared" si="3"/>
        <v>13045.81905</v>
      </c>
      <c r="Q7" s="1">
        <f t="shared" si="4"/>
        <v>10315.55481</v>
      </c>
      <c r="R7" s="1">
        <f t="shared" si="5"/>
        <v>41251.21011</v>
      </c>
      <c r="S7" s="1">
        <f t="shared" si="6"/>
        <v>5933.92107</v>
      </c>
      <c r="T7" s="1">
        <f t="shared" si="7"/>
        <v>737.61171</v>
      </c>
      <c r="U7" s="1">
        <f t="shared" si="8"/>
        <v>770.6391</v>
      </c>
      <c r="V7" s="1">
        <f t="shared" si="9"/>
        <v>770.6391</v>
      </c>
      <c r="W7" s="1">
        <f t="shared" si="10"/>
        <v>1838.52471</v>
      </c>
    </row>
    <row r="8">
      <c r="A8" s="15">
        <v>2023.0</v>
      </c>
      <c r="B8" s="15">
        <v>2.0</v>
      </c>
      <c r="C8" s="14" t="s">
        <v>6</v>
      </c>
      <c r="D8" s="14" t="s">
        <v>31</v>
      </c>
      <c r="E8" s="15">
        <v>60.0</v>
      </c>
      <c r="F8" s="15">
        <v>5.0</v>
      </c>
      <c r="G8" s="15">
        <v>5.0</v>
      </c>
      <c r="H8" s="15">
        <v>20.0</v>
      </c>
      <c r="I8" s="15">
        <v>0.5</v>
      </c>
      <c r="J8" s="15">
        <v>5.0</v>
      </c>
      <c r="K8" s="15">
        <v>3.0</v>
      </c>
      <c r="L8" s="15">
        <v>0.5</v>
      </c>
      <c r="M8" s="15">
        <v>1.0</v>
      </c>
      <c r="N8" s="4">
        <v>239352.1</v>
      </c>
      <c r="O8" s="1">
        <f t="shared" si="2"/>
        <v>143611.26</v>
      </c>
      <c r="P8" s="1">
        <f t="shared" si="3"/>
        <v>11967.605</v>
      </c>
      <c r="Q8" s="1">
        <f t="shared" si="4"/>
        <v>11967.605</v>
      </c>
      <c r="R8" s="1">
        <f t="shared" si="5"/>
        <v>47870.42</v>
      </c>
      <c r="S8" s="1">
        <f t="shared" si="6"/>
        <v>1196.7605</v>
      </c>
      <c r="T8" s="1">
        <f t="shared" si="7"/>
        <v>11967.605</v>
      </c>
      <c r="U8" s="1">
        <f t="shared" si="8"/>
        <v>7180.563</v>
      </c>
      <c r="V8" s="1">
        <f t="shared" si="9"/>
        <v>1196.7605</v>
      </c>
      <c r="W8" s="1">
        <f t="shared" si="10"/>
        <v>2393.521</v>
      </c>
    </row>
    <row r="9">
      <c r="A9" s="15">
        <v>2023.0</v>
      </c>
      <c r="B9" s="15">
        <v>2.0</v>
      </c>
      <c r="C9" s="14" t="s">
        <v>6</v>
      </c>
      <c r="D9" s="14" t="s">
        <v>32</v>
      </c>
      <c r="E9" s="15">
        <v>52.55</v>
      </c>
      <c r="F9" s="15">
        <v>0.42</v>
      </c>
      <c r="G9" s="15">
        <v>13.33</v>
      </c>
      <c r="H9" s="15">
        <v>23.79</v>
      </c>
      <c r="I9" s="15">
        <v>0.89</v>
      </c>
      <c r="J9" s="15">
        <v>1.19</v>
      </c>
      <c r="K9" s="15">
        <v>0.33</v>
      </c>
      <c r="L9" s="15">
        <v>1.03</v>
      </c>
      <c r="M9" s="15">
        <v>6.47</v>
      </c>
      <c r="N9" s="4">
        <v>134117.1</v>
      </c>
      <c r="O9" s="1">
        <f t="shared" si="2"/>
        <v>70478.53605</v>
      </c>
      <c r="P9" s="1">
        <f t="shared" si="3"/>
        <v>563.29182</v>
      </c>
      <c r="Q9" s="1">
        <f t="shared" si="4"/>
        <v>17877.80943</v>
      </c>
      <c r="R9" s="1">
        <f t="shared" si="5"/>
        <v>31906.45809</v>
      </c>
      <c r="S9" s="1">
        <f t="shared" si="6"/>
        <v>1193.64219</v>
      </c>
      <c r="T9" s="1">
        <f t="shared" si="7"/>
        <v>1595.99349</v>
      </c>
      <c r="U9" s="1">
        <f t="shared" si="8"/>
        <v>442.58643</v>
      </c>
      <c r="V9" s="1">
        <f t="shared" si="9"/>
        <v>1381.40613</v>
      </c>
      <c r="W9" s="1">
        <f t="shared" si="10"/>
        <v>8677.37637</v>
      </c>
    </row>
    <row r="10">
      <c r="A10" s="15">
        <v>2023.0</v>
      </c>
      <c r="B10" s="15">
        <v>2.0</v>
      </c>
      <c r="C10" s="14" t="s">
        <v>6</v>
      </c>
      <c r="D10" s="14" t="s">
        <v>33</v>
      </c>
      <c r="E10" s="15">
        <v>25.0</v>
      </c>
      <c r="F10" s="15">
        <v>10.0</v>
      </c>
      <c r="G10" s="15">
        <v>20.0</v>
      </c>
      <c r="H10" s="15">
        <v>25.0</v>
      </c>
      <c r="I10" s="15">
        <v>5.0</v>
      </c>
      <c r="J10" s="15">
        <v>5.0</v>
      </c>
      <c r="K10" s="15">
        <v>2.5</v>
      </c>
      <c r="L10" s="15">
        <v>5.0</v>
      </c>
      <c r="M10" s="15">
        <v>2.5</v>
      </c>
      <c r="N10" s="4">
        <v>127591.0</v>
      </c>
      <c r="O10" s="1">
        <f t="shared" si="2"/>
        <v>31897.75</v>
      </c>
      <c r="P10" s="1">
        <f t="shared" si="3"/>
        <v>12759.1</v>
      </c>
      <c r="Q10" s="1">
        <f t="shared" si="4"/>
        <v>25518.2</v>
      </c>
      <c r="R10" s="1">
        <f t="shared" si="5"/>
        <v>31897.75</v>
      </c>
      <c r="S10" s="1">
        <f t="shared" si="6"/>
        <v>6379.55</v>
      </c>
      <c r="T10" s="1">
        <f t="shared" si="7"/>
        <v>6379.55</v>
      </c>
      <c r="U10" s="1">
        <f t="shared" si="8"/>
        <v>3189.775</v>
      </c>
      <c r="V10" s="1">
        <f t="shared" si="9"/>
        <v>6379.55</v>
      </c>
      <c r="W10" s="1">
        <f t="shared" si="10"/>
        <v>3189.775</v>
      </c>
    </row>
    <row r="11">
      <c r="A11" s="15">
        <v>2023.0</v>
      </c>
      <c r="B11" s="15">
        <v>2.0</v>
      </c>
      <c r="C11" s="14" t="s">
        <v>6</v>
      </c>
      <c r="D11" s="14" t="s">
        <v>34</v>
      </c>
      <c r="E11" s="15">
        <v>63.0</v>
      </c>
      <c r="F11" s="15">
        <v>2.0</v>
      </c>
      <c r="G11" s="15">
        <v>5.0</v>
      </c>
      <c r="H11" s="15">
        <v>18.0</v>
      </c>
      <c r="I11" s="15">
        <v>3.0</v>
      </c>
      <c r="J11" s="15">
        <v>2.0</v>
      </c>
      <c r="K11" s="15">
        <v>2.0</v>
      </c>
      <c r="L11" s="15">
        <v>3.0</v>
      </c>
      <c r="M11" s="15">
        <v>2.0</v>
      </c>
      <c r="N11" s="4">
        <v>175548.4</v>
      </c>
      <c r="O11" s="1">
        <f t="shared" si="2"/>
        <v>110595.492</v>
      </c>
      <c r="P11" s="1">
        <f t="shared" si="3"/>
        <v>3510.968</v>
      </c>
      <c r="Q11" s="1">
        <f t="shared" si="4"/>
        <v>8777.42</v>
      </c>
      <c r="R11" s="1">
        <f t="shared" si="5"/>
        <v>31598.712</v>
      </c>
      <c r="S11" s="1">
        <f t="shared" si="6"/>
        <v>5266.452</v>
      </c>
      <c r="T11" s="1">
        <f t="shared" si="7"/>
        <v>3510.968</v>
      </c>
      <c r="U11" s="1">
        <f t="shared" si="8"/>
        <v>3510.968</v>
      </c>
      <c r="V11" s="1">
        <f t="shared" si="9"/>
        <v>5266.452</v>
      </c>
      <c r="W11" s="1">
        <f t="shared" si="10"/>
        <v>3510.968</v>
      </c>
    </row>
    <row r="12">
      <c r="A12" s="15">
        <v>2023.0</v>
      </c>
      <c r="B12" s="15">
        <v>2.0</v>
      </c>
      <c r="C12" s="14" t="s">
        <v>6</v>
      </c>
      <c r="D12" s="14" t="s">
        <v>35</v>
      </c>
      <c r="E12" s="15">
        <v>74.3</v>
      </c>
      <c r="F12" s="15">
        <v>0.8</v>
      </c>
      <c r="G12" s="15">
        <v>8.9</v>
      </c>
      <c r="H12" s="15">
        <v>11.2</v>
      </c>
      <c r="I12" s="15">
        <v>0.5</v>
      </c>
      <c r="J12" s="15">
        <v>1.8</v>
      </c>
      <c r="K12" s="15">
        <v>0.3</v>
      </c>
      <c r="L12" s="15">
        <v>1.8</v>
      </c>
      <c r="M12" s="15">
        <v>0.4</v>
      </c>
      <c r="N12" s="4">
        <v>147061.8</v>
      </c>
      <c r="O12" s="1">
        <f t="shared" si="2"/>
        <v>109266.9174</v>
      </c>
      <c r="P12" s="1">
        <f t="shared" si="3"/>
        <v>1176.4944</v>
      </c>
      <c r="Q12" s="1">
        <f t="shared" si="4"/>
        <v>13088.5002</v>
      </c>
      <c r="R12" s="1">
        <f t="shared" si="5"/>
        <v>16470.9216</v>
      </c>
      <c r="S12" s="1">
        <f t="shared" si="6"/>
        <v>735.309</v>
      </c>
      <c r="T12" s="1">
        <f t="shared" si="7"/>
        <v>2647.1124</v>
      </c>
      <c r="U12" s="1">
        <f t="shared" si="8"/>
        <v>441.1854</v>
      </c>
      <c r="V12" s="1">
        <f t="shared" si="9"/>
        <v>2647.1124</v>
      </c>
      <c r="W12" s="1">
        <f t="shared" si="10"/>
        <v>588.2472</v>
      </c>
    </row>
    <row r="13">
      <c r="A13" s="15">
        <v>2023.0</v>
      </c>
      <c r="B13" s="15">
        <v>2.0</v>
      </c>
      <c r="C13" s="14" t="s">
        <v>6</v>
      </c>
      <c r="D13" s="14" t="s">
        <v>36</v>
      </c>
      <c r="E13" s="15">
        <v>30.0</v>
      </c>
      <c r="F13" s="15">
        <v>5.0</v>
      </c>
      <c r="G13" s="15">
        <v>20.0</v>
      </c>
      <c r="H13" s="15">
        <v>25.0</v>
      </c>
      <c r="I13" s="15">
        <v>5.0</v>
      </c>
      <c r="J13" s="15">
        <v>5.0</v>
      </c>
      <c r="K13" s="15">
        <v>2.0</v>
      </c>
      <c r="L13" s="15">
        <v>5.0</v>
      </c>
      <c r="M13" s="15">
        <v>3.0</v>
      </c>
      <c r="N13" s="4">
        <v>252198.9</v>
      </c>
      <c r="O13" s="1">
        <f t="shared" si="2"/>
        <v>75659.67</v>
      </c>
      <c r="P13" s="1">
        <f t="shared" si="3"/>
        <v>12609.945</v>
      </c>
      <c r="Q13" s="1">
        <f t="shared" si="4"/>
        <v>50439.78</v>
      </c>
      <c r="R13" s="1">
        <f t="shared" si="5"/>
        <v>63049.725</v>
      </c>
      <c r="S13" s="1">
        <f t="shared" si="6"/>
        <v>12609.945</v>
      </c>
      <c r="T13" s="1">
        <f t="shared" si="7"/>
        <v>12609.945</v>
      </c>
      <c r="U13" s="1">
        <f t="shared" si="8"/>
        <v>5043.978</v>
      </c>
      <c r="V13" s="1">
        <f t="shared" si="9"/>
        <v>12609.945</v>
      </c>
      <c r="W13" s="1">
        <f t="shared" si="10"/>
        <v>7565.967</v>
      </c>
    </row>
    <row r="14">
      <c r="A14" s="15">
        <v>2023.0</v>
      </c>
      <c r="B14" s="15">
        <v>2.0</v>
      </c>
      <c r="C14" s="14" t="s">
        <v>6</v>
      </c>
      <c r="D14" s="14" t="s">
        <v>37</v>
      </c>
      <c r="E14" s="15">
        <v>29.65</v>
      </c>
      <c r="F14" s="15">
        <v>16.89</v>
      </c>
      <c r="G14" s="15">
        <v>19.08</v>
      </c>
      <c r="H14" s="15">
        <v>13.02</v>
      </c>
      <c r="I14" s="15">
        <v>5.24</v>
      </c>
      <c r="J14" s="15">
        <v>5.43</v>
      </c>
      <c r="K14" s="15">
        <v>3.62</v>
      </c>
      <c r="L14" s="15">
        <v>5.77</v>
      </c>
      <c r="M14" s="15">
        <v>1.3</v>
      </c>
      <c r="N14" s="4">
        <v>160756.6</v>
      </c>
      <c r="O14" s="1">
        <f t="shared" si="2"/>
        <v>47664.3319</v>
      </c>
      <c r="P14" s="1">
        <f t="shared" si="3"/>
        <v>27151.78974</v>
      </c>
      <c r="Q14" s="1">
        <f t="shared" si="4"/>
        <v>30672.35928</v>
      </c>
      <c r="R14" s="1">
        <f t="shared" si="5"/>
        <v>20930.50932</v>
      </c>
      <c r="S14" s="1">
        <f t="shared" si="6"/>
        <v>8423.64584</v>
      </c>
      <c r="T14" s="1">
        <f t="shared" si="7"/>
        <v>8729.08338</v>
      </c>
      <c r="U14" s="1">
        <f t="shared" si="8"/>
        <v>5819.38892</v>
      </c>
      <c r="V14" s="1">
        <f t="shared" si="9"/>
        <v>9275.65582</v>
      </c>
      <c r="W14" s="1">
        <f t="shared" si="10"/>
        <v>2089.8358</v>
      </c>
    </row>
    <row r="15">
      <c r="A15" s="15">
        <v>2023.0</v>
      </c>
      <c r="B15" s="15">
        <v>2.0</v>
      </c>
      <c r="C15" s="14" t="s">
        <v>6</v>
      </c>
      <c r="D15" s="14" t="s">
        <v>38</v>
      </c>
      <c r="E15" s="15">
        <v>53.31</v>
      </c>
      <c r="F15" s="15">
        <v>0.96</v>
      </c>
      <c r="G15" s="15">
        <v>8.79</v>
      </c>
      <c r="H15" s="15">
        <v>23.36</v>
      </c>
      <c r="I15" s="15">
        <v>0.69</v>
      </c>
      <c r="J15" s="15">
        <v>2.44</v>
      </c>
      <c r="K15" s="15">
        <v>0.94</v>
      </c>
      <c r="L15" s="15">
        <v>1.16</v>
      </c>
      <c r="M15" s="15">
        <v>8.35</v>
      </c>
      <c r="N15" s="4">
        <v>168085.3</v>
      </c>
      <c r="O15" s="1">
        <f t="shared" si="2"/>
        <v>89606.27343</v>
      </c>
      <c r="P15" s="1">
        <f t="shared" si="3"/>
        <v>1613.61888</v>
      </c>
      <c r="Q15" s="1">
        <f t="shared" si="4"/>
        <v>14774.69787</v>
      </c>
      <c r="R15" s="1">
        <f t="shared" si="5"/>
        <v>39264.72608</v>
      </c>
      <c r="S15" s="1">
        <f t="shared" si="6"/>
        <v>1159.78857</v>
      </c>
      <c r="T15" s="1">
        <f t="shared" si="7"/>
        <v>4101.28132</v>
      </c>
      <c r="U15" s="1">
        <f t="shared" si="8"/>
        <v>1580.00182</v>
      </c>
      <c r="V15" s="1">
        <f t="shared" si="9"/>
        <v>1949.78948</v>
      </c>
      <c r="W15" s="1">
        <f t="shared" si="10"/>
        <v>14035.12255</v>
      </c>
    </row>
    <row r="16">
      <c r="A16" s="15">
        <v>2023.0</v>
      </c>
      <c r="B16" s="15">
        <v>2.0</v>
      </c>
      <c r="C16" s="14" t="s">
        <v>6</v>
      </c>
      <c r="D16" s="14" t="s">
        <v>39</v>
      </c>
      <c r="E16" s="15">
        <v>48.54</v>
      </c>
      <c r="F16" s="15">
        <v>4.59</v>
      </c>
      <c r="G16" s="15">
        <v>16.31</v>
      </c>
      <c r="H16" s="15">
        <v>22.54</v>
      </c>
      <c r="I16" s="15">
        <v>0.06</v>
      </c>
      <c r="J16" s="15">
        <v>0.05</v>
      </c>
      <c r="K16" s="15">
        <v>3.75</v>
      </c>
      <c r="L16" s="15">
        <v>2.8</v>
      </c>
      <c r="M16" s="15">
        <v>1.36</v>
      </c>
      <c r="N16" s="4">
        <v>230903.4</v>
      </c>
      <c r="O16" s="1">
        <f t="shared" si="2"/>
        <v>112080.5104</v>
      </c>
      <c r="P16" s="1">
        <f t="shared" si="3"/>
        <v>10598.46606</v>
      </c>
      <c r="Q16" s="1">
        <f t="shared" si="4"/>
        <v>37660.34454</v>
      </c>
      <c r="R16" s="1">
        <f t="shared" si="5"/>
        <v>52045.62636</v>
      </c>
      <c r="S16" s="1">
        <f t="shared" si="6"/>
        <v>138.54204</v>
      </c>
      <c r="T16" s="1">
        <f t="shared" si="7"/>
        <v>115.4517</v>
      </c>
      <c r="U16" s="1">
        <f t="shared" si="8"/>
        <v>8658.8775</v>
      </c>
      <c r="V16" s="1">
        <f t="shared" si="9"/>
        <v>6465.2952</v>
      </c>
      <c r="W16" s="1">
        <f t="shared" si="10"/>
        <v>3140.28624</v>
      </c>
    </row>
    <row r="17">
      <c r="A17" s="15">
        <v>2023.0</v>
      </c>
      <c r="B17" s="15">
        <v>2.0</v>
      </c>
      <c r="C17" s="14" t="s">
        <v>6</v>
      </c>
      <c r="D17" s="14" t="s">
        <v>40</v>
      </c>
      <c r="E17" s="15">
        <v>61.56</v>
      </c>
      <c r="F17" s="15">
        <v>11.58</v>
      </c>
      <c r="G17" s="15">
        <v>4.25</v>
      </c>
      <c r="H17" s="15">
        <v>18.53</v>
      </c>
      <c r="I17" s="15">
        <v>0.27</v>
      </c>
      <c r="J17" s="15">
        <v>0.18</v>
      </c>
      <c r="K17" s="15">
        <v>1.07</v>
      </c>
      <c r="L17" s="15">
        <v>0.38</v>
      </c>
      <c r="M17" s="15">
        <v>2.18</v>
      </c>
      <c r="N17" s="4">
        <v>198693.0</v>
      </c>
      <c r="O17" s="1">
        <f t="shared" si="2"/>
        <v>122315.4108</v>
      </c>
      <c r="P17" s="1">
        <f t="shared" si="3"/>
        <v>23008.6494</v>
      </c>
      <c r="Q17" s="1">
        <f t="shared" si="4"/>
        <v>8444.4525</v>
      </c>
      <c r="R17" s="1">
        <f t="shared" si="5"/>
        <v>36817.8129</v>
      </c>
      <c r="S17" s="1">
        <f t="shared" si="6"/>
        <v>536.4711</v>
      </c>
      <c r="T17" s="1">
        <f t="shared" si="7"/>
        <v>357.6474</v>
      </c>
      <c r="U17" s="1">
        <f t="shared" si="8"/>
        <v>2126.0151</v>
      </c>
      <c r="V17" s="1">
        <f t="shared" si="9"/>
        <v>755.0334</v>
      </c>
      <c r="W17" s="1">
        <f t="shared" si="10"/>
        <v>4331.5074</v>
      </c>
    </row>
    <row r="18">
      <c r="A18" s="15">
        <v>2023.0</v>
      </c>
      <c r="B18" s="15">
        <v>2.0</v>
      </c>
      <c r="C18" s="14" t="s">
        <v>6</v>
      </c>
      <c r="D18" s="14" t="s">
        <v>41</v>
      </c>
      <c r="E18" s="15">
        <v>31.33</v>
      </c>
      <c r="F18" s="15">
        <v>17.62</v>
      </c>
      <c r="G18" s="15">
        <v>6.68</v>
      </c>
      <c r="H18" s="15">
        <v>18.27</v>
      </c>
      <c r="I18" s="15">
        <v>7.41</v>
      </c>
      <c r="J18" s="15">
        <v>1.96</v>
      </c>
      <c r="K18" s="15">
        <v>2.02</v>
      </c>
      <c r="L18" s="15">
        <v>2.06</v>
      </c>
      <c r="M18" s="15">
        <v>12.65</v>
      </c>
      <c r="N18" s="4">
        <v>150175.6</v>
      </c>
      <c r="O18" s="1">
        <f t="shared" si="2"/>
        <v>47050.01548</v>
      </c>
      <c r="P18" s="1">
        <f t="shared" si="3"/>
        <v>26460.94072</v>
      </c>
      <c r="Q18" s="1">
        <f t="shared" si="4"/>
        <v>10031.73008</v>
      </c>
      <c r="R18" s="1">
        <f t="shared" si="5"/>
        <v>27437.08212</v>
      </c>
      <c r="S18" s="1">
        <f t="shared" si="6"/>
        <v>11128.01196</v>
      </c>
      <c r="T18" s="1">
        <f t="shared" si="7"/>
        <v>2943.44176</v>
      </c>
      <c r="U18" s="1">
        <f t="shared" si="8"/>
        <v>3033.54712</v>
      </c>
      <c r="V18" s="1">
        <f t="shared" si="9"/>
        <v>3093.61736</v>
      </c>
      <c r="W18" s="1">
        <f t="shared" si="10"/>
        <v>18997.2134</v>
      </c>
    </row>
    <row r="19">
      <c r="A19" s="15">
        <v>2023.0</v>
      </c>
      <c r="B19" s="15">
        <v>2.0</v>
      </c>
      <c r="C19" s="14" t="s">
        <v>6</v>
      </c>
      <c r="D19" s="14" t="s">
        <v>42</v>
      </c>
      <c r="E19" s="15">
        <v>30.61</v>
      </c>
      <c r="F19" s="15">
        <v>15.08</v>
      </c>
      <c r="G19" s="15">
        <v>9.49</v>
      </c>
      <c r="H19" s="15">
        <v>23.02</v>
      </c>
      <c r="I19" s="15">
        <v>0.29</v>
      </c>
      <c r="J19" s="15">
        <v>8.0</v>
      </c>
      <c r="K19" s="15">
        <v>1.07</v>
      </c>
      <c r="L19" s="15">
        <v>0.88</v>
      </c>
      <c r="M19" s="15">
        <v>11.56</v>
      </c>
      <c r="N19" s="4">
        <v>159381.6</v>
      </c>
      <c r="O19" s="1">
        <f t="shared" si="2"/>
        <v>48786.70776</v>
      </c>
      <c r="P19" s="1">
        <f t="shared" si="3"/>
        <v>24034.74528</v>
      </c>
      <c r="Q19" s="1">
        <f t="shared" si="4"/>
        <v>15125.31384</v>
      </c>
      <c r="R19" s="1">
        <f t="shared" si="5"/>
        <v>36689.64432</v>
      </c>
      <c r="S19" s="1">
        <f t="shared" si="6"/>
        <v>462.20664</v>
      </c>
      <c r="T19" s="1">
        <f t="shared" si="7"/>
        <v>12750.528</v>
      </c>
      <c r="U19" s="1">
        <f t="shared" si="8"/>
        <v>1705.38312</v>
      </c>
      <c r="V19" s="1">
        <f t="shared" si="9"/>
        <v>1402.55808</v>
      </c>
      <c r="W19" s="1">
        <f t="shared" si="10"/>
        <v>18424.51296</v>
      </c>
    </row>
    <row r="20">
      <c r="A20" s="15">
        <v>2023.0</v>
      </c>
      <c r="B20" s="15">
        <v>2.0</v>
      </c>
      <c r="C20" s="14" t="s">
        <v>6</v>
      </c>
      <c r="D20" s="14" t="s">
        <v>43</v>
      </c>
      <c r="E20" s="15">
        <v>7.0</v>
      </c>
      <c r="F20" s="15">
        <v>8.2</v>
      </c>
      <c r="G20" s="15">
        <v>6.5</v>
      </c>
      <c r="H20" s="15">
        <v>10.2</v>
      </c>
      <c r="I20" s="15">
        <v>0.8</v>
      </c>
      <c r="J20" s="15">
        <v>3.0</v>
      </c>
      <c r="K20" s="15">
        <v>2.0</v>
      </c>
      <c r="L20" s="15">
        <v>0.2</v>
      </c>
      <c r="M20" s="15">
        <v>62.1</v>
      </c>
      <c r="N20" s="4">
        <v>148774.9</v>
      </c>
      <c r="O20" s="1">
        <f t="shared" si="2"/>
        <v>10414.243</v>
      </c>
      <c r="P20" s="1">
        <f t="shared" si="3"/>
        <v>12199.5418</v>
      </c>
      <c r="Q20" s="1">
        <f t="shared" si="4"/>
        <v>9670.3685</v>
      </c>
      <c r="R20" s="1">
        <f t="shared" si="5"/>
        <v>15175.0398</v>
      </c>
      <c r="S20" s="1">
        <f t="shared" si="6"/>
        <v>1190.1992</v>
      </c>
      <c r="T20" s="1">
        <f t="shared" si="7"/>
        <v>4463.247</v>
      </c>
      <c r="U20" s="1">
        <f t="shared" si="8"/>
        <v>2975.498</v>
      </c>
      <c r="V20" s="1">
        <f t="shared" si="9"/>
        <v>297.5498</v>
      </c>
      <c r="W20" s="1">
        <f t="shared" si="10"/>
        <v>92389.2129</v>
      </c>
    </row>
    <row r="21">
      <c r="A21" s="15">
        <v>2023.0</v>
      </c>
      <c r="B21" s="15">
        <v>2.0</v>
      </c>
      <c r="C21" s="14" t="s">
        <v>6</v>
      </c>
      <c r="D21" s="14" t="s">
        <v>44</v>
      </c>
      <c r="E21" s="15">
        <v>16.0</v>
      </c>
      <c r="F21" s="15">
        <v>21.0</v>
      </c>
      <c r="G21" s="15">
        <v>18.0</v>
      </c>
      <c r="H21" s="15">
        <v>14.0</v>
      </c>
      <c r="I21" s="15">
        <v>19.0</v>
      </c>
      <c r="J21" s="15">
        <v>2.0</v>
      </c>
      <c r="K21" s="15">
        <v>8.0</v>
      </c>
      <c r="L21" s="15">
        <v>1.0</v>
      </c>
      <c r="M21" s="15">
        <v>1.0</v>
      </c>
      <c r="N21" s="4">
        <v>172397.8</v>
      </c>
      <c r="O21" s="1">
        <f t="shared" si="2"/>
        <v>27583.648</v>
      </c>
      <c r="P21" s="1">
        <f t="shared" si="3"/>
        <v>36203.538</v>
      </c>
      <c r="Q21" s="1">
        <f t="shared" si="4"/>
        <v>31031.604</v>
      </c>
      <c r="R21" s="1">
        <f t="shared" si="5"/>
        <v>24135.692</v>
      </c>
      <c r="S21" s="1">
        <f t="shared" si="6"/>
        <v>32755.582</v>
      </c>
      <c r="T21" s="1">
        <f t="shared" si="7"/>
        <v>3447.956</v>
      </c>
      <c r="U21" s="1">
        <f t="shared" si="8"/>
        <v>13791.824</v>
      </c>
      <c r="V21" s="1">
        <f t="shared" si="9"/>
        <v>1723.978</v>
      </c>
      <c r="W21" s="1">
        <f t="shared" si="10"/>
        <v>1723.978</v>
      </c>
    </row>
    <row r="22">
      <c r="A22" s="15">
        <v>2023.0</v>
      </c>
      <c r="B22" s="15">
        <v>2.0</v>
      </c>
      <c r="C22" s="14" t="s">
        <v>6</v>
      </c>
      <c r="D22" s="14" t="s">
        <v>45</v>
      </c>
      <c r="E22" s="15">
        <v>37.0</v>
      </c>
      <c r="F22" s="15">
        <v>12.0</v>
      </c>
      <c r="G22" s="15">
        <v>15.0</v>
      </c>
      <c r="H22" s="15">
        <v>24.0</v>
      </c>
      <c r="I22" s="15">
        <v>3.0</v>
      </c>
      <c r="J22" s="15">
        <v>2.0</v>
      </c>
      <c r="K22" s="15">
        <v>2.0</v>
      </c>
      <c r="L22" s="15">
        <v>1.0</v>
      </c>
      <c r="M22" s="15">
        <v>4.0</v>
      </c>
      <c r="N22" s="4">
        <v>256593.4</v>
      </c>
      <c r="O22" s="1">
        <f t="shared" si="2"/>
        <v>94939.558</v>
      </c>
      <c r="P22" s="1">
        <f t="shared" si="3"/>
        <v>30791.208</v>
      </c>
      <c r="Q22" s="1">
        <f t="shared" si="4"/>
        <v>38489.01</v>
      </c>
      <c r="R22" s="1">
        <f t="shared" si="5"/>
        <v>61582.416</v>
      </c>
      <c r="S22" s="1">
        <f t="shared" si="6"/>
        <v>7697.802</v>
      </c>
      <c r="T22" s="1">
        <f t="shared" si="7"/>
        <v>5131.868</v>
      </c>
      <c r="U22" s="1">
        <f t="shared" si="8"/>
        <v>5131.868</v>
      </c>
      <c r="V22" s="1">
        <f t="shared" si="9"/>
        <v>2565.934</v>
      </c>
      <c r="W22" s="1">
        <f t="shared" si="10"/>
        <v>10263.736</v>
      </c>
    </row>
    <row r="23">
      <c r="A23" s="15">
        <v>2023.0</v>
      </c>
      <c r="B23" s="15">
        <v>2.0</v>
      </c>
      <c r="C23" s="14" t="s">
        <v>6</v>
      </c>
      <c r="D23" s="14" t="s">
        <v>46</v>
      </c>
      <c r="E23" s="15">
        <v>5.0</v>
      </c>
      <c r="F23" s="15">
        <v>50.0</v>
      </c>
      <c r="G23" s="15">
        <v>5.0</v>
      </c>
      <c r="H23" s="15">
        <v>25.0</v>
      </c>
      <c r="I23" s="15">
        <v>4.0</v>
      </c>
      <c r="J23" s="15">
        <v>4.0</v>
      </c>
      <c r="K23" s="15">
        <v>1.0</v>
      </c>
      <c r="L23" s="15">
        <v>1.0</v>
      </c>
      <c r="M23" s="15">
        <v>5.0</v>
      </c>
      <c r="N23" s="4">
        <v>376953.9</v>
      </c>
      <c r="O23" s="1">
        <f t="shared" si="2"/>
        <v>18847.695</v>
      </c>
      <c r="P23" s="1">
        <f t="shared" si="3"/>
        <v>188476.95</v>
      </c>
      <c r="Q23" s="1">
        <f t="shared" si="4"/>
        <v>18847.695</v>
      </c>
      <c r="R23" s="1">
        <f t="shared" si="5"/>
        <v>94238.475</v>
      </c>
      <c r="S23" s="1">
        <f t="shared" si="6"/>
        <v>15078.156</v>
      </c>
      <c r="T23" s="1">
        <f t="shared" si="7"/>
        <v>15078.156</v>
      </c>
      <c r="U23" s="1">
        <f t="shared" si="8"/>
        <v>3769.539</v>
      </c>
      <c r="V23" s="1">
        <f t="shared" si="9"/>
        <v>3769.539</v>
      </c>
      <c r="W23" s="1">
        <f t="shared" si="10"/>
        <v>18847.695</v>
      </c>
    </row>
    <row r="24">
      <c r="A24" s="15">
        <v>2023.0</v>
      </c>
      <c r="B24" s="15">
        <v>2.0</v>
      </c>
      <c r="C24" s="14" t="s">
        <v>6</v>
      </c>
      <c r="D24" s="14" t="s">
        <v>47</v>
      </c>
      <c r="E24" s="15">
        <v>41.17</v>
      </c>
      <c r="F24" s="15">
        <v>7.54</v>
      </c>
      <c r="G24" s="15">
        <v>15.93</v>
      </c>
      <c r="H24" s="15">
        <v>23.28</v>
      </c>
      <c r="I24" s="15">
        <v>3.88</v>
      </c>
      <c r="J24" s="15">
        <v>0.03</v>
      </c>
      <c r="K24" s="15">
        <v>0.19</v>
      </c>
      <c r="L24" s="15">
        <v>1.89</v>
      </c>
      <c r="M24" s="15">
        <v>6.09</v>
      </c>
      <c r="N24" s="4">
        <v>31099.96</v>
      </c>
      <c r="O24" s="1">
        <f t="shared" si="2"/>
        <v>12803.85353</v>
      </c>
      <c r="P24" s="1">
        <f t="shared" si="3"/>
        <v>2344.936984</v>
      </c>
      <c r="Q24" s="1">
        <f t="shared" si="4"/>
        <v>4954.223628</v>
      </c>
      <c r="R24" s="1">
        <f t="shared" si="5"/>
        <v>7240.070688</v>
      </c>
      <c r="S24" s="1">
        <f t="shared" si="6"/>
        <v>1206.678448</v>
      </c>
      <c r="T24" s="1">
        <f t="shared" si="7"/>
        <v>9.329988</v>
      </c>
      <c r="U24" s="1">
        <f t="shared" si="8"/>
        <v>59.089924</v>
      </c>
      <c r="V24" s="1">
        <f t="shared" si="9"/>
        <v>587.789244</v>
      </c>
      <c r="W24" s="1">
        <f t="shared" si="10"/>
        <v>1893.987564</v>
      </c>
    </row>
    <row r="25">
      <c r="A25" s="15">
        <v>2023.0</v>
      </c>
      <c r="B25" s="15">
        <v>2.0</v>
      </c>
      <c r="C25" s="14" t="s">
        <v>6</v>
      </c>
      <c r="D25" s="14" t="s">
        <v>48</v>
      </c>
      <c r="E25" s="15">
        <v>38.18</v>
      </c>
      <c r="F25" s="15">
        <v>5.64</v>
      </c>
      <c r="G25" s="15">
        <v>13.64</v>
      </c>
      <c r="H25" s="15">
        <v>22.73</v>
      </c>
      <c r="I25" s="15">
        <v>3.64</v>
      </c>
      <c r="J25" s="15">
        <v>7.27</v>
      </c>
      <c r="K25" s="15">
        <v>1.07</v>
      </c>
      <c r="L25" s="15">
        <v>1.17</v>
      </c>
      <c r="M25" s="15">
        <v>6.66</v>
      </c>
      <c r="N25" s="4">
        <v>153840.8</v>
      </c>
      <c r="O25" s="1">
        <f t="shared" si="2"/>
        <v>58736.41744</v>
      </c>
      <c r="P25" s="1">
        <f t="shared" si="3"/>
        <v>8676.62112</v>
      </c>
      <c r="Q25" s="1">
        <f t="shared" si="4"/>
        <v>20983.88512</v>
      </c>
      <c r="R25" s="1">
        <f t="shared" si="5"/>
        <v>34968.01384</v>
      </c>
      <c r="S25" s="1">
        <f t="shared" si="6"/>
        <v>5599.80512</v>
      </c>
      <c r="T25" s="1">
        <f t="shared" si="7"/>
        <v>11184.22616</v>
      </c>
      <c r="U25" s="1">
        <f t="shared" si="8"/>
        <v>1646.09656</v>
      </c>
      <c r="V25" s="1">
        <f t="shared" si="9"/>
        <v>1799.93736</v>
      </c>
      <c r="W25" s="1">
        <f t="shared" si="10"/>
        <v>10245.79728</v>
      </c>
    </row>
    <row r="26">
      <c r="A26" s="15">
        <v>2023.0</v>
      </c>
      <c r="B26" s="15">
        <v>2.0</v>
      </c>
      <c r="C26" s="14" t="s">
        <v>6</v>
      </c>
      <c r="D26" s="14" t="s">
        <v>49</v>
      </c>
      <c r="E26" s="15">
        <v>15.0</v>
      </c>
      <c r="F26" s="15">
        <v>12.0</v>
      </c>
      <c r="G26" s="15">
        <v>24.6</v>
      </c>
      <c r="H26" s="15">
        <v>5.54</v>
      </c>
      <c r="I26" s="15">
        <v>12.3</v>
      </c>
      <c r="J26" s="15">
        <v>6.16</v>
      </c>
      <c r="K26" s="15">
        <v>2.0</v>
      </c>
      <c r="L26" s="15">
        <v>12.91</v>
      </c>
      <c r="M26" s="15">
        <v>9.49</v>
      </c>
      <c r="N26" s="4">
        <v>42331.53</v>
      </c>
      <c r="O26" s="1">
        <f t="shared" si="2"/>
        <v>6349.7295</v>
      </c>
      <c r="P26" s="1">
        <f t="shared" si="3"/>
        <v>5079.7836</v>
      </c>
      <c r="Q26" s="1">
        <f t="shared" si="4"/>
        <v>10413.55638</v>
      </c>
      <c r="R26" s="1">
        <f t="shared" si="5"/>
        <v>2345.166762</v>
      </c>
      <c r="S26" s="1">
        <f t="shared" si="6"/>
        <v>5206.77819</v>
      </c>
      <c r="T26" s="1">
        <f t="shared" si="7"/>
        <v>2607.622248</v>
      </c>
      <c r="U26" s="1">
        <f t="shared" si="8"/>
        <v>846.6306</v>
      </c>
      <c r="V26" s="1">
        <f t="shared" si="9"/>
        <v>5465.000523</v>
      </c>
      <c r="W26" s="1">
        <f t="shared" si="10"/>
        <v>4017.262197</v>
      </c>
    </row>
    <row r="27">
      <c r="A27" s="15">
        <v>2023.0</v>
      </c>
      <c r="B27" s="15">
        <v>2.0</v>
      </c>
      <c r="C27" s="14" t="s">
        <v>6</v>
      </c>
      <c r="D27" s="14" t="s">
        <v>50</v>
      </c>
      <c r="E27" s="15">
        <v>56.19223659889093</v>
      </c>
      <c r="F27" s="15">
        <v>7.578558225508317</v>
      </c>
      <c r="G27" s="15">
        <v>9.42698706099815</v>
      </c>
      <c r="H27" s="15">
        <v>15.896487985212564</v>
      </c>
      <c r="I27" s="15">
        <v>1.1090573012939</v>
      </c>
      <c r="J27" s="15">
        <v>4.5286506469500925</v>
      </c>
      <c r="K27" s="15">
        <v>0.9242144177449167</v>
      </c>
      <c r="L27" s="15">
        <v>1.6635859519408502</v>
      </c>
      <c r="M27" s="15">
        <v>2.6802218114602585</v>
      </c>
      <c r="N27" s="4">
        <v>435057.2</v>
      </c>
      <c r="O27" s="1">
        <f t="shared" si="2"/>
        <v>244468.3712</v>
      </c>
      <c r="P27" s="1">
        <f t="shared" si="3"/>
        <v>32971.06322</v>
      </c>
      <c r="Q27" s="1">
        <f t="shared" si="4"/>
        <v>41012.78595</v>
      </c>
      <c r="R27" s="1">
        <f t="shared" si="5"/>
        <v>69158.81553</v>
      </c>
      <c r="S27" s="1">
        <f t="shared" si="6"/>
        <v>4825.033641</v>
      </c>
      <c r="T27" s="1">
        <f t="shared" si="7"/>
        <v>19702.2207</v>
      </c>
      <c r="U27" s="1">
        <f t="shared" si="8"/>
        <v>4020.861368</v>
      </c>
      <c r="V27" s="1">
        <f t="shared" si="9"/>
        <v>7237.550462</v>
      </c>
      <c r="W27" s="1">
        <f t="shared" si="10"/>
        <v>11660.49797</v>
      </c>
    </row>
    <row r="28">
      <c r="A28" s="15">
        <v>2024.0</v>
      </c>
      <c r="B28" s="15">
        <v>2.0</v>
      </c>
      <c r="C28" s="14" t="s">
        <v>6</v>
      </c>
      <c r="D28" s="14" t="s">
        <v>7</v>
      </c>
      <c r="E28" s="15">
        <v>57.67</v>
      </c>
      <c r="F28" s="15">
        <v>1.71</v>
      </c>
      <c r="G28" s="15">
        <v>9.71</v>
      </c>
      <c r="H28" s="15">
        <v>16.42</v>
      </c>
      <c r="I28" s="15">
        <v>1.33</v>
      </c>
      <c r="J28" s="15">
        <v>1.25</v>
      </c>
      <c r="K28" s="15">
        <v>1.065</v>
      </c>
      <c r="L28" s="15">
        <v>1.17</v>
      </c>
      <c r="M28" s="15">
        <v>9.675</v>
      </c>
      <c r="N28" s="4">
        <v>351771.6</v>
      </c>
      <c r="O28" s="1">
        <f t="shared" si="2"/>
        <v>202866.6817</v>
      </c>
      <c r="P28" s="1">
        <f t="shared" si="3"/>
        <v>6015.29436</v>
      </c>
      <c r="Q28" s="1">
        <f t="shared" si="4"/>
        <v>34157.02236</v>
      </c>
      <c r="R28" s="1">
        <f t="shared" si="5"/>
        <v>57760.89672</v>
      </c>
      <c r="S28" s="1">
        <f t="shared" si="6"/>
        <v>4678.56228</v>
      </c>
      <c r="T28" s="1">
        <f t="shared" si="7"/>
        <v>4397.145</v>
      </c>
      <c r="U28" s="1">
        <f t="shared" si="8"/>
        <v>3746.36754</v>
      </c>
      <c r="V28" s="1">
        <f t="shared" si="9"/>
        <v>4115.72772</v>
      </c>
      <c r="W28" s="1">
        <f t="shared" si="10"/>
        <v>34033.9023</v>
      </c>
    </row>
    <row r="29">
      <c r="A29" s="15">
        <v>2024.0</v>
      </c>
      <c r="B29" s="15">
        <v>2.0</v>
      </c>
      <c r="C29" s="14" t="s">
        <v>6</v>
      </c>
      <c r="D29" s="14" t="s">
        <v>10</v>
      </c>
      <c r="E29" s="15">
        <v>35.1</v>
      </c>
      <c r="F29" s="15">
        <v>13.02</v>
      </c>
      <c r="G29" s="15">
        <v>10.77</v>
      </c>
      <c r="H29" s="15">
        <v>12.57</v>
      </c>
      <c r="I29" s="15">
        <v>0.36</v>
      </c>
      <c r="J29" s="15">
        <v>0.46</v>
      </c>
      <c r="K29" s="15">
        <v>0.29</v>
      </c>
      <c r="L29" s="15">
        <v>0.41</v>
      </c>
      <c r="M29" s="15">
        <v>27.02</v>
      </c>
      <c r="N29" s="4">
        <v>177069.9</v>
      </c>
      <c r="O29" s="1">
        <f t="shared" si="2"/>
        <v>62151.5349</v>
      </c>
      <c r="P29" s="1">
        <f t="shared" si="3"/>
        <v>23054.50098</v>
      </c>
      <c r="Q29" s="1">
        <f t="shared" si="4"/>
        <v>19070.42823</v>
      </c>
      <c r="R29" s="1">
        <f t="shared" si="5"/>
        <v>22257.68643</v>
      </c>
      <c r="S29" s="1">
        <f t="shared" si="6"/>
        <v>637.45164</v>
      </c>
      <c r="T29" s="1">
        <f t="shared" si="7"/>
        <v>814.52154</v>
      </c>
      <c r="U29" s="1">
        <f t="shared" si="8"/>
        <v>513.50271</v>
      </c>
      <c r="V29" s="1">
        <f t="shared" si="9"/>
        <v>725.98659</v>
      </c>
      <c r="W29" s="1">
        <f t="shared" si="10"/>
        <v>47844.28698</v>
      </c>
    </row>
    <row r="30">
      <c r="A30" s="15">
        <v>2024.0</v>
      </c>
      <c r="B30" s="15">
        <v>2.0</v>
      </c>
      <c r="C30" s="14" t="s">
        <v>6</v>
      </c>
      <c r="D30" s="14" t="s">
        <v>15</v>
      </c>
      <c r="E30" s="15">
        <v>21.53</v>
      </c>
      <c r="F30" s="15">
        <v>25.17</v>
      </c>
      <c r="G30" s="15">
        <v>6.95</v>
      </c>
      <c r="H30" s="15">
        <v>18.18</v>
      </c>
      <c r="I30" s="15">
        <v>0.44</v>
      </c>
      <c r="J30" s="15">
        <v>3.09</v>
      </c>
      <c r="K30" s="15">
        <v>2.86</v>
      </c>
      <c r="L30" s="15">
        <v>0.8</v>
      </c>
      <c r="M30" s="15">
        <v>20.98</v>
      </c>
      <c r="N30" s="4">
        <v>117937.3</v>
      </c>
      <c r="O30" s="1">
        <f t="shared" si="2"/>
        <v>25391.90069</v>
      </c>
      <c r="P30" s="1">
        <f t="shared" si="3"/>
        <v>29684.81841</v>
      </c>
      <c r="Q30" s="1">
        <f t="shared" si="4"/>
        <v>8196.64235</v>
      </c>
      <c r="R30" s="1">
        <f t="shared" si="5"/>
        <v>21441.00114</v>
      </c>
      <c r="S30" s="1">
        <f t="shared" si="6"/>
        <v>518.92412</v>
      </c>
      <c r="T30" s="1">
        <f t="shared" si="7"/>
        <v>3644.26257</v>
      </c>
      <c r="U30" s="1">
        <f t="shared" si="8"/>
        <v>3373.00678</v>
      </c>
      <c r="V30" s="1">
        <f t="shared" si="9"/>
        <v>943.4984</v>
      </c>
      <c r="W30" s="1">
        <f t="shared" si="10"/>
        <v>24743.24554</v>
      </c>
    </row>
    <row r="31">
      <c r="A31" s="15">
        <v>2024.0</v>
      </c>
      <c r="B31" s="15">
        <v>2.0</v>
      </c>
      <c r="C31" s="14" t="s">
        <v>6</v>
      </c>
      <c r="D31" s="14" t="s">
        <v>22</v>
      </c>
      <c r="E31" s="15">
        <v>60.93</v>
      </c>
      <c r="F31" s="15">
        <v>9.5</v>
      </c>
      <c r="G31" s="15">
        <v>13.57</v>
      </c>
      <c r="H31" s="15">
        <v>9.11</v>
      </c>
      <c r="I31" s="15">
        <v>2.5</v>
      </c>
      <c r="J31" s="15">
        <v>1.0</v>
      </c>
      <c r="K31" s="15">
        <v>0.31</v>
      </c>
      <c r="L31" s="15">
        <v>0.74</v>
      </c>
      <c r="M31" s="15">
        <v>2.34</v>
      </c>
      <c r="N31" s="4">
        <v>132810.9</v>
      </c>
      <c r="O31" s="1">
        <f t="shared" si="2"/>
        <v>80921.68137</v>
      </c>
      <c r="P31" s="1">
        <f t="shared" si="3"/>
        <v>12617.0355</v>
      </c>
      <c r="Q31" s="1">
        <f t="shared" si="4"/>
        <v>18022.43913</v>
      </c>
      <c r="R31" s="1">
        <f t="shared" si="5"/>
        <v>12099.07299</v>
      </c>
      <c r="S31" s="1">
        <f t="shared" si="6"/>
        <v>3320.2725</v>
      </c>
      <c r="T31" s="1">
        <f t="shared" si="7"/>
        <v>1328.109</v>
      </c>
      <c r="U31" s="1">
        <f t="shared" si="8"/>
        <v>411.71379</v>
      </c>
      <c r="V31" s="1">
        <f t="shared" si="9"/>
        <v>982.80066</v>
      </c>
      <c r="W31" s="1">
        <f t="shared" si="10"/>
        <v>3107.77506</v>
      </c>
    </row>
    <row r="32">
      <c r="A32" s="15">
        <v>2024.0</v>
      </c>
      <c r="B32" s="15">
        <v>2.0</v>
      </c>
      <c r="C32" s="14" t="s">
        <v>6</v>
      </c>
      <c r="D32" s="14" t="s">
        <v>26</v>
      </c>
      <c r="E32" s="15">
        <v>45.41</v>
      </c>
      <c r="F32" s="15">
        <v>6.71</v>
      </c>
      <c r="G32" s="15">
        <v>4.43</v>
      </c>
      <c r="H32" s="15">
        <v>24.87</v>
      </c>
      <c r="I32" s="15">
        <v>0.61</v>
      </c>
      <c r="J32" s="15">
        <v>2.15</v>
      </c>
      <c r="K32" s="15">
        <v>0.68</v>
      </c>
      <c r="L32" s="15">
        <v>1.32</v>
      </c>
      <c r="M32" s="15">
        <v>13.82</v>
      </c>
      <c r="N32" s="4">
        <v>244077.5</v>
      </c>
      <c r="O32" s="1">
        <f t="shared" si="2"/>
        <v>110835.5928</v>
      </c>
      <c r="P32" s="1">
        <f t="shared" si="3"/>
        <v>16377.60025</v>
      </c>
      <c r="Q32" s="1">
        <f t="shared" si="4"/>
        <v>10812.63325</v>
      </c>
      <c r="R32" s="1">
        <f t="shared" si="5"/>
        <v>60702.07425</v>
      </c>
      <c r="S32" s="1">
        <f t="shared" si="6"/>
        <v>1488.87275</v>
      </c>
      <c r="T32" s="1">
        <f t="shared" si="7"/>
        <v>5247.66625</v>
      </c>
      <c r="U32" s="1">
        <f t="shared" si="8"/>
        <v>1659.727</v>
      </c>
      <c r="V32" s="1">
        <f t="shared" si="9"/>
        <v>3221.823</v>
      </c>
      <c r="W32" s="1">
        <f t="shared" si="10"/>
        <v>33731.5105</v>
      </c>
    </row>
    <row r="33">
      <c r="A33" s="15">
        <v>2024.0</v>
      </c>
      <c r="B33" s="15">
        <v>2.0</v>
      </c>
      <c r="C33" s="14" t="s">
        <v>6</v>
      </c>
      <c r="D33" s="14" t="s">
        <v>29</v>
      </c>
      <c r="E33" s="15">
        <v>23.23</v>
      </c>
      <c r="F33" s="15">
        <v>36.17</v>
      </c>
      <c r="G33" s="15">
        <v>14.56</v>
      </c>
      <c r="H33" s="15">
        <v>6.61</v>
      </c>
      <c r="I33" s="15">
        <v>13.58</v>
      </c>
      <c r="J33" s="15">
        <v>3.72</v>
      </c>
      <c r="K33" s="15">
        <v>1.06</v>
      </c>
      <c r="L33" s="15">
        <v>0.27</v>
      </c>
      <c r="M33" s="15">
        <v>0.8</v>
      </c>
      <c r="N33" s="4">
        <v>109424.6</v>
      </c>
      <c r="O33" s="1">
        <f t="shared" si="2"/>
        <v>25419.33458</v>
      </c>
      <c r="P33" s="1">
        <f t="shared" si="3"/>
        <v>39578.87782</v>
      </c>
      <c r="Q33" s="1">
        <f t="shared" si="4"/>
        <v>15932.22176</v>
      </c>
      <c r="R33" s="1">
        <f t="shared" si="5"/>
        <v>7232.96606</v>
      </c>
      <c r="S33" s="1">
        <f t="shared" si="6"/>
        <v>14859.86068</v>
      </c>
      <c r="T33" s="1">
        <f t="shared" si="7"/>
        <v>4070.59512</v>
      </c>
      <c r="U33" s="1">
        <f t="shared" si="8"/>
        <v>1159.90076</v>
      </c>
      <c r="V33" s="1">
        <f t="shared" si="9"/>
        <v>295.44642</v>
      </c>
      <c r="W33" s="1">
        <f t="shared" si="10"/>
        <v>875.3968</v>
      </c>
    </row>
    <row r="34">
      <c r="A34" s="15">
        <v>2024.0</v>
      </c>
      <c r="B34" s="15">
        <v>2.0</v>
      </c>
      <c r="C34" s="14" t="s">
        <v>6</v>
      </c>
      <c r="D34" s="14" t="s">
        <v>31</v>
      </c>
      <c r="E34" s="15">
        <v>60.0</v>
      </c>
      <c r="F34" s="15">
        <v>5.0</v>
      </c>
      <c r="G34" s="15">
        <v>5.0</v>
      </c>
      <c r="H34" s="15">
        <v>20.0</v>
      </c>
      <c r="I34" s="15">
        <v>0.5</v>
      </c>
      <c r="J34" s="15">
        <v>5.0</v>
      </c>
      <c r="K34" s="15">
        <v>3.0</v>
      </c>
      <c r="L34" s="15">
        <v>0.5</v>
      </c>
      <c r="M34" s="15">
        <v>1.0</v>
      </c>
      <c r="N34" s="4">
        <v>238699.6</v>
      </c>
      <c r="O34" s="1">
        <f t="shared" si="2"/>
        <v>143219.76</v>
      </c>
      <c r="P34" s="1">
        <f t="shared" si="3"/>
        <v>11934.98</v>
      </c>
      <c r="Q34" s="1">
        <f t="shared" si="4"/>
        <v>11934.98</v>
      </c>
      <c r="R34" s="1">
        <f t="shared" si="5"/>
        <v>47739.92</v>
      </c>
      <c r="S34" s="1">
        <f t="shared" si="6"/>
        <v>1193.498</v>
      </c>
      <c r="T34" s="1">
        <f t="shared" si="7"/>
        <v>11934.98</v>
      </c>
      <c r="U34" s="1">
        <f t="shared" si="8"/>
        <v>7160.988</v>
      </c>
      <c r="V34" s="1">
        <f t="shared" si="9"/>
        <v>1193.498</v>
      </c>
      <c r="W34" s="1">
        <f t="shared" si="10"/>
        <v>2386.996</v>
      </c>
    </row>
    <row r="35">
      <c r="A35" s="15">
        <v>2024.0</v>
      </c>
      <c r="B35" s="15">
        <v>2.0</v>
      </c>
      <c r="C35" s="14" t="s">
        <v>6</v>
      </c>
      <c r="D35" s="14" t="s">
        <v>32</v>
      </c>
      <c r="E35" s="15">
        <v>52.55</v>
      </c>
      <c r="F35" s="15">
        <v>0.42</v>
      </c>
      <c r="G35" s="15">
        <v>13.33</v>
      </c>
      <c r="H35" s="15">
        <v>23.79</v>
      </c>
      <c r="I35" s="15">
        <v>0.89</v>
      </c>
      <c r="J35" s="15">
        <v>1.19</v>
      </c>
      <c r="K35" s="15">
        <v>0.33</v>
      </c>
      <c r="L35" s="15">
        <v>1.03</v>
      </c>
      <c r="M35" s="15">
        <v>6.47</v>
      </c>
      <c r="N35" s="4">
        <v>133804.9</v>
      </c>
      <c r="O35" s="1">
        <f t="shared" si="2"/>
        <v>70314.47495</v>
      </c>
      <c r="P35" s="1">
        <f t="shared" si="3"/>
        <v>561.98058</v>
      </c>
      <c r="Q35" s="1">
        <f t="shared" si="4"/>
        <v>17836.19317</v>
      </c>
      <c r="R35" s="1">
        <f t="shared" si="5"/>
        <v>31832.18571</v>
      </c>
      <c r="S35" s="1">
        <f t="shared" si="6"/>
        <v>1190.86361</v>
      </c>
      <c r="T35" s="1">
        <f t="shared" si="7"/>
        <v>1592.27831</v>
      </c>
      <c r="U35" s="1">
        <f t="shared" si="8"/>
        <v>441.55617</v>
      </c>
      <c r="V35" s="1">
        <f t="shared" si="9"/>
        <v>1378.19047</v>
      </c>
      <c r="W35" s="1">
        <f t="shared" si="10"/>
        <v>8657.17703</v>
      </c>
    </row>
    <row r="36">
      <c r="A36" s="15">
        <v>2024.0</v>
      </c>
      <c r="B36" s="15">
        <v>2.0</v>
      </c>
      <c r="C36" s="14" t="s">
        <v>6</v>
      </c>
      <c r="D36" s="14" t="s">
        <v>33</v>
      </c>
      <c r="E36" s="15">
        <v>30.0</v>
      </c>
      <c r="F36" s="15">
        <v>15.0</v>
      </c>
      <c r="G36" s="15">
        <v>25.0</v>
      </c>
      <c r="H36" s="15">
        <v>10.0</v>
      </c>
      <c r="I36" s="15">
        <v>5.0</v>
      </c>
      <c r="J36" s="15">
        <v>5.0</v>
      </c>
      <c r="K36" s="15">
        <v>3.5</v>
      </c>
      <c r="L36" s="15">
        <v>4.5</v>
      </c>
      <c r="M36" s="15">
        <v>2.0</v>
      </c>
      <c r="N36" s="4">
        <v>127166.5</v>
      </c>
      <c r="O36" s="1">
        <f t="shared" si="2"/>
        <v>38149.95</v>
      </c>
      <c r="P36" s="1">
        <f t="shared" si="3"/>
        <v>19074.975</v>
      </c>
      <c r="Q36" s="1">
        <f t="shared" si="4"/>
        <v>31791.625</v>
      </c>
      <c r="R36" s="1">
        <f t="shared" si="5"/>
        <v>12716.65</v>
      </c>
      <c r="S36" s="1">
        <f t="shared" si="6"/>
        <v>6358.325</v>
      </c>
      <c r="T36" s="1">
        <f t="shared" si="7"/>
        <v>6358.325</v>
      </c>
      <c r="U36" s="1">
        <f t="shared" si="8"/>
        <v>4450.8275</v>
      </c>
      <c r="V36" s="1">
        <f t="shared" si="9"/>
        <v>5722.4925</v>
      </c>
      <c r="W36" s="1">
        <f t="shared" si="10"/>
        <v>2543.33</v>
      </c>
    </row>
    <row r="37">
      <c r="A37" s="15">
        <v>2024.0</v>
      </c>
      <c r="B37" s="15">
        <v>2.0</v>
      </c>
      <c r="C37" s="14" t="s">
        <v>6</v>
      </c>
      <c r="D37" s="14" t="s">
        <v>34</v>
      </c>
      <c r="E37" s="15">
        <v>63.0</v>
      </c>
      <c r="F37" s="15">
        <v>3.0</v>
      </c>
      <c r="G37" s="15">
        <v>5.0</v>
      </c>
      <c r="H37" s="15">
        <v>20.0</v>
      </c>
      <c r="I37" s="15">
        <v>1.0</v>
      </c>
      <c r="J37" s="15">
        <v>2.0</v>
      </c>
      <c r="K37" s="15">
        <v>1.0</v>
      </c>
      <c r="L37" s="15">
        <v>3.0</v>
      </c>
      <c r="M37" s="15">
        <v>2.0</v>
      </c>
      <c r="N37" s="4">
        <v>139446.9</v>
      </c>
      <c r="O37" s="1">
        <f t="shared" si="2"/>
        <v>87851.547</v>
      </c>
      <c r="P37" s="1">
        <f t="shared" si="3"/>
        <v>4183.407</v>
      </c>
      <c r="Q37" s="1">
        <f t="shared" si="4"/>
        <v>6972.345</v>
      </c>
      <c r="R37" s="1">
        <f t="shared" si="5"/>
        <v>27889.38</v>
      </c>
      <c r="S37" s="1">
        <f t="shared" si="6"/>
        <v>1394.469</v>
      </c>
      <c r="T37" s="1">
        <f t="shared" si="7"/>
        <v>2788.938</v>
      </c>
      <c r="U37" s="1">
        <f t="shared" si="8"/>
        <v>1394.469</v>
      </c>
      <c r="V37" s="1">
        <f t="shared" si="9"/>
        <v>4183.407</v>
      </c>
      <c r="W37" s="1">
        <f t="shared" si="10"/>
        <v>2788.938</v>
      </c>
    </row>
    <row r="38">
      <c r="A38" s="15">
        <v>2024.0</v>
      </c>
      <c r="B38" s="15">
        <v>2.0</v>
      </c>
      <c r="C38" s="14" t="s">
        <v>6</v>
      </c>
      <c r="D38" s="14" t="s">
        <v>35</v>
      </c>
      <c r="E38" s="15">
        <v>74.3</v>
      </c>
      <c r="F38" s="15">
        <v>0.8</v>
      </c>
      <c r="G38" s="15">
        <v>8.9</v>
      </c>
      <c r="H38" s="15">
        <v>11.2</v>
      </c>
      <c r="I38" s="15">
        <v>0.5</v>
      </c>
      <c r="J38" s="15">
        <v>1.8</v>
      </c>
      <c r="K38" s="15">
        <v>0.3</v>
      </c>
      <c r="L38" s="15">
        <v>1.8</v>
      </c>
      <c r="M38" s="15">
        <v>0.4</v>
      </c>
      <c r="N38" s="4">
        <v>218449.2</v>
      </c>
      <c r="O38" s="1">
        <f t="shared" si="2"/>
        <v>162307.7556</v>
      </c>
      <c r="P38" s="1">
        <f t="shared" si="3"/>
        <v>1747.5936</v>
      </c>
      <c r="Q38" s="1">
        <f t="shared" si="4"/>
        <v>19441.9788</v>
      </c>
      <c r="R38" s="1">
        <f t="shared" si="5"/>
        <v>24466.3104</v>
      </c>
      <c r="S38" s="1">
        <f t="shared" si="6"/>
        <v>1092.246</v>
      </c>
      <c r="T38" s="1">
        <f t="shared" si="7"/>
        <v>3932.0856</v>
      </c>
      <c r="U38" s="1">
        <f t="shared" si="8"/>
        <v>655.3476</v>
      </c>
      <c r="V38" s="1">
        <f t="shared" si="9"/>
        <v>3932.0856</v>
      </c>
      <c r="W38" s="1">
        <f t="shared" si="10"/>
        <v>873.7968</v>
      </c>
    </row>
    <row r="39">
      <c r="A39" s="15">
        <v>2024.0</v>
      </c>
      <c r="B39" s="15">
        <v>2.0</v>
      </c>
      <c r="C39" s="14" t="s">
        <v>6</v>
      </c>
      <c r="D39" s="14" t="s">
        <v>36</v>
      </c>
      <c r="E39" s="15">
        <v>30.0</v>
      </c>
      <c r="F39" s="15">
        <v>5.0</v>
      </c>
      <c r="G39" s="15">
        <v>20.0</v>
      </c>
      <c r="H39" s="15">
        <v>25.0</v>
      </c>
      <c r="I39" s="15">
        <v>5.0</v>
      </c>
      <c r="J39" s="15">
        <v>5.0</v>
      </c>
      <c r="K39" s="15">
        <v>2.0</v>
      </c>
      <c r="L39" s="15">
        <v>5.0</v>
      </c>
      <c r="M39" s="15">
        <v>3.0</v>
      </c>
      <c r="N39" s="4">
        <v>248083.9</v>
      </c>
      <c r="O39" s="1">
        <f t="shared" si="2"/>
        <v>74425.17</v>
      </c>
      <c r="P39" s="1">
        <f t="shared" si="3"/>
        <v>12404.195</v>
      </c>
      <c r="Q39" s="1">
        <f t="shared" si="4"/>
        <v>49616.78</v>
      </c>
      <c r="R39" s="1">
        <f t="shared" si="5"/>
        <v>62020.975</v>
      </c>
      <c r="S39" s="1">
        <f t="shared" si="6"/>
        <v>12404.195</v>
      </c>
      <c r="T39" s="1">
        <f t="shared" si="7"/>
        <v>12404.195</v>
      </c>
      <c r="U39" s="1">
        <f t="shared" si="8"/>
        <v>4961.678</v>
      </c>
      <c r="V39" s="1">
        <f t="shared" si="9"/>
        <v>12404.195</v>
      </c>
      <c r="W39" s="1">
        <f t="shared" si="10"/>
        <v>7442.517</v>
      </c>
    </row>
    <row r="40">
      <c r="A40" s="15">
        <v>2024.0</v>
      </c>
      <c r="B40" s="15">
        <v>2.0</v>
      </c>
      <c r="C40" s="14" t="s">
        <v>6</v>
      </c>
      <c r="D40" s="14" t="s">
        <v>37</v>
      </c>
      <c r="E40" s="15">
        <v>30.65</v>
      </c>
      <c r="F40" s="15">
        <v>24.89</v>
      </c>
      <c r="G40" s="15">
        <v>10.08</v>
      </c>
      <c r="H40" s="15">
        <v>13.02</v>
      </c>
      <c r="I40" s="15">
        <v>5.24</v>
      </c>
      <c r="J40" s="15">
        <v>5.43</v>
      </c>
      <c r="K40" s="15">
        <v>3.62</v>
      </c>
      <c r="L40" s="15">
        <v>5.77</v>
      </c>
      <c r="M40" s="15">
        <v>1.3</v>
      </c>
      <c r="N40" s="4">
        <v>160202.3</v>
      </c>
      <c r="O40" s="1">
        <f t="shared" si="2"/>
        <v>49102.00495</v>
      </c>
      <c r="P40" s="1">
        <f t="shared" si="3"/>
        <v>39874.35247</v>
      </c>
      <c r="Q40" s="1">
        <f t="shared" si="4"/>
        <v>16148.39184</v>
      </c>
      <c r="R40" s="1">
        <f t="shared" si="5"/>
        <v>20858.33946</v>
      </c>
      <c r="S40" s="1">
        <f t="shared" si="6"/>
        <v>8394.60052</v>
      </c>
      <c r="T40" s="1">
        <f t="shared" si="7"/>
        <v>8698.98489</v>
      </c>
      <c r="U40" s="1">
        <f t="shared" si="8"/>
        <v>5799.32326</v>
      </c>
      <c r="V40" s="1">
        <f t="shared" si="9"/>
        <v>9243.67271</v>
      </c>
      <c r="W40" s="1">
        <f t="shared" si="10"/>
        <v>2082.6299</v>
      </c>
    </row>
    <row r="41">
      <c r="A41" s="15">
        <v>2024.0</v>
      </c>
      <c r="B41" s="15">
        <v>2.0</v>
      </c>
      <c r="C41" s="14" t="s">
        <v>6</v>
      </c>
      <c r="D41" s="14" t="s">
        <v>38</v>
      </c>
      <c r="E41" s="15">
        <v>53.31</v>
      </c>
      <c r="F41" s="15">
        <v>0.96</v>
      </c>
      <c r="G41" s="15">
        <v>8.79</v>
      </c>
      <c r="H41" s="15">
        <v>23.36</v>
      </c>
      <c r="I41" s="15">
        <v>0.69</v>
      </c>
      <c r="J41" s="15">
        <v>2.44</v>
      </c>
      <c r="K41" s="15">
        <v>0.94</v>
      </c>
      <c r="L41" s="15">
        <v>1.16</v>
      </c>
      <c r="M41" s="15">
        <v>8.35</v>
      </c>
      <c r="N41" s="4">
        <v>157916.0</v>
      </c>
      <c r="O41" s="1">
        <f t="shared" si="2"/>
        <v>84185.0196</v>
      </c>
      <c r="P41" s="1">
        <f t="shared" si="3"/>
        <v>1515.9936</v>
      </c>
      <c r="Q41" s="1">
        <f t="shared" si="4"/>
        <v>13880.8164</v>
      </c>
      <c r="R41" s="1">
        <f t="shared" si="5"/>
        <v>36889.1776</v>
      </c>
      <c r="S41" s="1">
        <f t="shared" si="6"/>
        <v>1089.6204</v>
      </c>
      <c r="T41" s="1">
        <f t="shared" si="7"/>
        <v>3853.1504</v>
      </c>
      <c r="U41" s="1">
        <f t="shared" si="8"/>
        <v>1484.4104</v>
      </c>
      <c r="V41" s="1">
        <f t="shared" si="9"/>
        <v>1831.8256</v>
      </c>
      <c r="W41" s="1">
        <f t="shared" si="10"/>
        <v>13185.986</v>
      </c>
    </row>
    <row r="42">
      <c r="A42" s="15">
        <v>2024.0</v>
      </c>
      <c r="B42" s="15">
        <v>2.0</v>
      </c>
      <c r="C42" s="14" t="s">
        <v>6</v>
      </c>
      <c r="D42" s="14" t="s">
        <v>39</v>
      </c>
      <c r="E42" s="15">
        <v>39.69</v>
      </c>
      <c r="F42" s="15">
        <v>12.9</v>
      </c>
      <c r="G42" s="15">
        <v>12.08</v>
      </c>
      <c r="H42" s="15">
        <v>17.89</v>
      </c>
      <c r="I42" s="15">
        <v>3.26</v>
      </c>
      <c r="J42" s="15">
        <v>2.49</v>
      </c>
      <c r="K42" s="15">
        <v>1.75</v>
      </c>
      <c r="L42" s="15">
        <v>2.36</v>
      </c>
      <c r="M42" s="15">
        <v>7.58</v>
      </c>
      <c r="N42" s="4">
        <v>228667.0</v>
      </c>
      <c r="O42" s="1">
        <f t="shared" si="2"/>
        <v>90757.9323</v>
      </c>
      <c r="P42" s="1">
        <f t="shared" si="3"/>
        <v>29498.043</v>
      </c>
      <c r="Q42" s="1">
        <f t="shared" si="4"/>
        <v>27622.9736</v>
      </c>
      <c r="R42" s="1">
        <f t="shared" si="5"/>
        <v>40908.5263</v>
      </c>
      <c r="S42" s="1">
        <f t="shared" si="6"/>
        <v>7454.5442</v>
      </c>
      <c r="T42" s="1">
        <f t="shared" si="7"/>
        <v>5693.8083</v>
      </c>
      <c r="U42" s="1">
        <f t="shared" si="8"/>
        <v>4001.6725</v>
      </c>
      <c r="V42" s="1">
        <f t="shared" si="9"/>
        <v>5396.5412</v>
      </c>
      <c r="W42" s="1">
        <f t="shared" si="10"/>
        <v>17332.9586</v>
      </c>
    </row>
    <row r="43">
      <c r="A43" s="15">
        <v>2024.0</v>
      </c>
      <c r="B43" s="15">
        <v>2.0</v>
      </c>
      <c r="C43" s="14" t="s">
        <v>6</v>
      </c>
      <c r="D43" s="14" t="s">
        <v>40</v>
      </c>
      <c r="E43" s="15">
        <v>61.56</v>
      </c>
      <c r="F43" s="15">
        <v>11.58</v>
      </c>
      <c r="G43" s="15">
        <v>4.25</v>
      </c>
      <c r="H43" s="15">
        <v>18.53</v>
      </c>
      <c r="I43" s="15">
        <v>0.27</v>
      </c>
      <c r="J43" s="15">
        <v>0.18</v>
      </c>
      <c r="K43" s="15">
        <v>1.065</v>
      </c>
      <c r="L43" s="15">
        <v>0.38</v>
      </c>
      <c r="M43" s="15">
        <v>2.185</v>
      </c>
      <c r="N43" s="4">
        <v>196718.9</v>
      </c>
      <c r="O43" s="1">
        <f t="shared" si="2"/>
        <v>121100.1548</v>
      </c>
      <c r="P43" s="1">
        <f t="shared" si="3"/>
        <v>22780.04862</v>
      </c>
      <c r="Q43" s="1">
        <f t="shared" si="4"/>
        <v>8360.55325</v>
      </c>
      <c r="R43" s="1">
        <f t="shared" si="5"/>
        <v>36452.01217</v>
      </c>
      <c r="S43" s="1">
        <f t="shared" si="6"/>
        <v>531.14103</v>
      </c>
      <c r="T43" s="1">
        <f t="shared" si="7"/>
        <v>354.09402</v>
      </c>
      <c r="U43" s="1">
        <f t="shared" si="8"/>
        <v>2095.056285</v>
      </c>
      <c r="V43" s="1">
        <f t="shared" si="9"/>
        <v>747.53182</v>
      </c>
      <c r="W43" s="1">
        <f t="shared" si="10"/>
        <v>4298.307965</v>
      </c>
    </row>
    <row r="44">
      <c r="A44" s="15">
        <v>2024.0</v>
      </c>
      <c r="B44" s="15">
        <v>2.0</v>
      </c>
      <c r="C44" s="14" t="s">
        <v>6</v>
      </c>
      <c r="D44" s="14" t="s">
        <v>41</v>
      </c>
      <c r="E44" s="15">
        <v>30.95</v>
      </c>
      <c r="F44" s="15">
        <v>17.16</v>
      </c>
      <c r="G44" s="15">
        <v>7.36</v>
      </c>
      <c r="H44" s="15">
        <v>19.24</v>
      </c>
      <c r="I44" s="15">
        <v>7.57</v>
      </c>
      <c r="J44" s="15">
        <v>1.89</v>
      </c>
      <c r="K44" s="15">
        <v>2.1</v>
      </c>
      <c r="L44" s="15">
        <v>2.02</v>
      </c>
      <c r="M44" s="15">
        <v>11.71</v>
      </c>
      <c r="N44" s="4">
        <v>148153.1</v>
      </c>
      <c r="O44" s="1">
        <f t="shared" si="2"/>
        <v>45853.38445</v>
      </c>
      <c r="P44" s="1">
        <f t="shared" si="3"/>
        <v>25423.07196</v>
      </c>
      <c r="Q44" s="1">
        <f t="shared" si="4"/>
        <v>10904.06816</v>
      </c>
      <c r="R44" s="1">
        <f t="shared" si="5"/>
        <v>28504.65644</v>
      </c>
      <c r="S44" s="1">
        <f t="shared" si="6"/>
        <v>11215.18967</v>
      </c>
      <c r="T44" s="1">
        <f t="shared" si="7"/>
        <v>2800.09359</v>
      </c>
      <c r="U44" s="1">
        <f t="shared" si="8"/>
        <v>3111.2151</v>
      </c>
      <c r="V44" s="1">
        <f t="shared" si="9"/>
        <v>2992.69262</v>
      </c>
      <c r="W44" s="1">
        <f t="shared" si="10"/>
        <v>17348.72801</v>
      </c>
    </row>
    <row r="45">
      <c r="A45" s="15">
        <v>2024.0</v>
      </c>
      <c r="B45" s="15">
        <v>2.0</v>
      </c>
      <c r="C45" s="14" t="s">
        <v>6</v>
      </c>
      <c r="D45" s="14" t="s">
        <v>42</v>
      </c>
      <c r="E45" s="15">
        <v>30.61</v>
      </c>
      <c r="F45" s="15">
        <v>15.08</v>
      </c>
      <c r="G45" s="15">
        <v>9.49</v>
      </c>
      <c r="H45" s="15">
        <v>23.02</v>
      </c>
      <c r="I45" s="15">
        <v>0.29</v>
      </c>
      <c r="J45" s="15">
        <v>8.0</v>
      </c>
      <c r="K45" s="15">
        <v>1.07</v>
      </c>
      <c r="L45" s="15">
        <v>0.87</v>
      </c>
      <c r="M45" s="15">
        <v>11.57</v>
      </c>
      <c r="N45" s="4">
        <v>159584.7</v>
      </c>
      <c r="O45" s="1">
        <f t="shared" si="2"/>
        <v>48848.87667</v>
      </c>
      <c r="P45" s="1">
        <f t="shared" si="3"/>
        <v>24065.37276</v>
      </c>
      <c r="Q45" s="1">
        <f t="shared" si="4"/>
        <v>15144.58803</v>
      </c>
      <c r="R45" s="1">
        <f t="shared" si="5"/>
        <v>36736.39794</v>
      </c>
      <c r="S45" s="1">
        <f t="shared" si="6"/>
        <v>462.79563</v>
      </c>
      <c r="T45" s="1">
        <f t="shared" si="7"/>
        <v>12766.776</v>
      </c>
      <c r="U45" s="1">
        <f t="shared" si="8"/>
        <v>1707.55629</v>
      </c>
      <c r="V45" s="1">
        <f t="shared" si="9"/>
        <v>1388.38689</v>
      </c>
      <c r="W45" s="1">
        <f t="shared" si="10"/>
        <v>18463.94979</v>
      </c>
    </row>
    <row r="46">
      <c r="A46" s="15">
        <v>2024.0</v>
      </c>
      <c r="B46" s="15">
        <v>2.0</v>
      </c>
      <c r="C46" s="14" t="s">
        <v>6</v>
      </c>
      <c r="D46" s="14" t="s">
        <v>43</v>
      </c>
      <c r="E46" s="15">
        <v>31.2</v>
      </c>
      <c r="F46" s="15">
        <v>12.9</v>
      </c>
      <c r="G46" s="15">
        <v>10.4</v>
      </c>
      <c r="H46" s="15">
        <v>26.7</v>
      </c>
      <c r="I46" s="15">
        <v>2.7</v>
      </c>
      <c r="J46" s="15">
        <v>2.6</v>
      </c>
      <c r="K46" s="15">
        <v>2.0</v>
      </c>
      <c r="L46" s="15">
        <v>1.3</v>
      </c>
      <c r="M46" s="15">
        <v>10.2</v>
      </c>
      <c r="N46" s="4">
        <v>147078.1</v>
      </c>
      <c r="O46" s="1">
        <f t="shared" si="2"/>
        <v>45888.3672</v>
      </c>
      <c r="P46" s="1">
        <f t="shared" si="3"/>
        <v>18973.0749</v>
      </c>
      <c r="Q46" s="1">
        <f t="shared" si="4"/>
        <v>15296.1224</v>
      </c>
      <c r="R46" s="1">
        <f t="shared" si="5"/>
        <v>39269.8527</v>
      </c>
      <c r="S46" s="1">
        <f t="shared" si="6"/>
        <v>3971.1087</v>
      </c>
      <c r="T46" s="1">
        <f t="shared" si="7"/>
        <v>3824.0306</v>
      </c>
      <c r="U46" s="1">
        <f t="shared" si="8"/>
        <v>2941.562</v>
      </c>
      <c r="V46" s="1">
        <f t="shared" si="9"/>
        <v>1912.0153</v>
      </c>
      <c r="W46" s="1">
        <f t="shared" si="10"/>
        <v>15001.9662</v>
      </c>
    </row>
    <row r="47">
      <c r="A47" s="15">
        <v>2024.0</v>
      </c>
      <c r="B47" s="15">
        <v>2.0</v>
      </c>
      <c r="C47" s="14" t="s">
        <v>6</v>
      </c>
      <c r="D47" s="14" t="s">
        <v>44</v>
      </c>
      <c r="E47" s="15">
        <v>23.0</v>
      </c>
      <c r="F47" s="15">
        <v>16.0</v>
      </c>
      <c r="G47" s="15">
        <v>11.0</v>
      </c>
      <c r="H47" s="15">
        <v>21.0</v>
      </c>
      <c r="I47" s="15">
        <v>5.0</v>
      </c>
      <c r="J47" s="15">
        <v>6.0</v>
      </c>
      <c r="K47" s="15">
        <v>6.0</v>
      </c>
      <c r="L47" s="15">
        <v>9.0</v>
      </c>
      <c r="M47" s="15">
        <v>3.0</v>
      </c>
      <c r="N47" s="4">
        <v>172397.8</v>
      </c>
      <c r="O47" s="1">
        <f t="shared" si="2"/>
        <v>39651.494</v>
      </c>
      <c r="P47" s="1">
        <f t="shared" si="3"/>
        <v>27583.648</v>
      </c>
      <c r="Q47" s="1">
        <f t="shared" si="4"/>
        <v>18963.758</v>
      </c>
      <c r="R47" s="1">
        <f t="shared" si="5"/>
        <v>36203.538</v>
      </c>
      <c r="S47" s="1">
        <f t="shared" si="6"/>
        <v>8619.89</v>
      </c>
      <c r="T47" s="1">
        <f t="shared" si="7"/>
        <v>10343.868</v>
      </c>
      <c r="U47" s="1">
        <f t="shared" si="8"/>
        <v>10343.868</v>
      </c>
      <c r="V47" s="1">
        <f t="shared" si="9"/>
        <v>15515.802</v>
      </c>
      <c r="W47" s="1">
        <f t="shared" si="10"/>
        <v>5171.934</v>
      </c>
    </row>
    <row r="48">
      <c r="A48" s="15">
        <v>2024.0</v>
      </c>
      <c r="B48" s="15">
        <v>2.0</v>
      </c>
      <c r="C48" s="14" t="s">
        <v>6</v>
      </c>
      <c r="D48" s="14" t="s">
        <v>45</v>
      </c>
      <c r="E48" s="15">
        <v>52.54</v>
      </c>
      <c r="F48" s="15">
        <v>3.39</v>
      </c>
      <c r="G48" s="15">
        <v>4.46</v>
      </c>
      <c r="H48" s="15">
        <v>23.09</v>
      </c>
      <c r="I48" s="15">
        <v>0.21</v>
      </c>
      <c r="J48" s="15">
        <v>4.14</v>
      </c>
      <c r="K48" s="15">
        <v>1.065</v>
      </c>
      <c r="L48" s="15">
        <v>0.93</v>
      </c>
      <c r="M48" s="15">
        <v>10.175</v>
      </c>
      <c r="N48" s="4">
        <v>241609.6</v>
      </c>
      <c r="O48" s="1">
        <f t="shared" si="2"/>
        <v>126941.6838</v>
      </c>
      <c r="P48" s="1">
        <f t="shared" si="3"/>
        <v>8190.56544</v>
      </c>
      <c r="Q48" s="1">
        <f t="shared" si="4"/>
        <v>10775.78816</v>
      </c>
      <c r="R48" s="1">
        <f t="shared" si="5"/>
        <v>55787.65664</v>
      </c>
      <c r="S48" s="1">
        <f t="shared" si="6"/>
        <v>507.38016</v>
      </c>
      <c r="T48" s="1">
        <f t="shared" si="7"/>
        <v>10002.63744</v>
      </c>
      <c r="U48" s="1">
        <f t="shared" si="8"/>
        <v>2573.14224</v>
      </c>
      <c r="V48" s="1">
        <f t="shared" si="9"/>
        <v>2246.96928</v>
      </c>
      <c r="W48" s="1">
        <f t="shared" si="10"/>
        <v>24583.7768</v>
      </c>
    </row>
    <row r="49">
      <c r="A49" s="15">
        <v>2024.0</v>
      </c>
      <c r="B49" s="15">
        <v>2.0</v>
      </c>
      <c r="C49" s="14" t="s">
        <v>6</v>
      </c>
      <c r="D49" s="14" t="s">
        <v>46</v>
      </c>
      <c r="E49" s="15">
        <v>5.0</v>
      </c>
      <c r="F49" s="15">
        <v>50.0</v>
      </c>
      <c r="G49" s="15">
        <v>5.0</v>
      </c>
      <c r="H49" s="15">
        <v>25.0</v>
      </c>
      <c r="I49" s="15">
        <v>4.0</v>
      </c>
      <c r="J49" s="15">
        <v>4.0</v>
      </c>
      <c r="K49" s="15">
        <v>1.0</v>
      </c>
      <c r="L49" s="15">
        <v>1.0</v>
      </c>
      <c r="M49" s="15">
        <v>5.0</v>
      </c>
      <c r="N49" s="4">
        <v>372861.6</v>
      </c>
      <c r="O49" s="1">
        <f t="shared" si="2"/>
        <v>18643.08</v>
      </c>
      <c r="P49" s="1">
        <f t="shared" si="3"/>
        <v>186430.8</v>
      </c>
      <c r="Q49" s="1">
        <f t="shared" si="4"/>
        <v>18643.08</v>
      </c>
      <c r="R49" s="1">
        <f t="shared" si="5"/>
        <v>93215.4</v>
      </c>
      <c r="S49" s="1">
        <f t="shared" si="6"/>
        <v>14914.464</v>
      </c>
      <c r="T49" s="1">
        <f t="shared" si="7"/>
        <v>14914.464</v>
      </c>
      <c r="U49" s="1">
        <f t="shared" si="8"/>
        <v>3728.616</v>
      </c>
      <c r="V49" s="1">
        <f t="shared" si="9"/>
        <v>3728.616</v>
      </c>
      <c r="W49" s="1">
        <f t="shared" si="10"/>
        <v>18643.08</v>
      </c>
    </row>
    <row r="50">
      <c r="A50" s="15">
        <v>2024.0</v>
      </c>
      <c r="B50" s="15">
        <v>2.0</v>
      </c>
      <c r="C50" s="14" t="s">
        <v>6</v>
      </c>
      <c r="D50" s="14" t="s">
        <v>47</v>
      </c>
      <c r="E50" s="15">
        <v>44.54</v>
      </c>
      <c r="F50" s="15">
        <v>13.72</v>
      </c>
      <c r="G50" s="15">
        <v>21.01</v>
      </c>
      <c r="H50" s="15">
        <v>13.09</v>
      </c>
      <c r="I50" s="15">
        <v>3.72</v>
      </c>
      <c r="J50" s="15">
        <v>0.0</v>
      </c>
      <c r="K50" s="15">
        <v>0.01</v>
      </c>
      <c r="L50" s="15">
        <v>2.54</v>
      </c>
      <c r="M50" s="15">
        <v>1.37</v>
      </c>
      <c r="N50" s="4">
        <v>29515.1</v>
      </c>
      <c r="O50" s="1">
        <f t="shared" si="2"/>
        <v>13146.02554</v>
      </c>
      <c r="P50" s="1">
        <f t="shared" si="3"/>
        <v>4049.47172</v>
      </c>
      <c r="Q50" s="1">
        <f t="shared" si="4"/>
        <v>6201.12251</v>
      </c>
      <c r="R50" s="1">
        <f t="shared" si="5"/>
        <v>3863.52659</v>
      </c>
      <c r="S50" s="1">
        <f t="shared" si="6"/>
        <v>1097.96172</v>
      </c>
      <c r="T50" s="1">
        <f t="shared" si="7"/>
        <v>0</v>
      </c>
      <c r="U50" s="1">
        <f t="shared" si="8"/>
        <v>2.95151</v>
      </c>
      <c r="V50" s="1">
        <f t="shared" si="9"/>
        <v>749.68354</v>
      </c>
      <c r="W50" s="1">
        <f t="shared" si="10"/>
        <v>404.35687</v>
      </c>
    </row>
    <row r="51">
      <c r="A51" s="15">
        <v>2024.0</v>
      </c>
      <c r="B51" s="15">
        <v>2.0</v>
      </c>
      <c r="C51" s="14" t="s">
        <v>6</v>
      </c>
      <c r="D51" s="14" t="s">
        <v>48</v>
      </c>
      <c r="E51" s="15">
        <v>38.18</v>
      </c>
      <c r="F51" s="15">
        <v>5.64</v>
      </c>
      <c r="G51" s="15">
        <v>13.64</v>
      </c>
      <c r="H51" s="15">
        <v>22.73</v>
      </c>
      <c r="I51" s="15">
        <v>3.64</v>
      </c>
      <c r="J51" s="15">
        <v>7.27</v>
      </c>
      <c r="K51" s="15">
        <v>1.065</v>
      </c>
      <c r="L51" s="15">
        <v>1.3</v>
      </c>
      <c r="M51" s="15">
        <v>6.535</v>
      </c>
      <c r="N51" s="4">
        <v>153360.9</v>
      </c>
      <c r="O51" s="1">
        <f t="shared" si="2"/>
        <v>58553.19162</v>
      </c>
      <c r="P51" s="1">
        <f t="shared" si="3"/>
        <v>8649.55476</v>
      </c>
      <c r="Q51" s="1">
        <f t="shared" si="4"/>
        <v>20918.42676</v>
      </c>
      <c r="R51" s="1">
        <f t="shared" si="5"/>
        <v>34858.93257</v>
      </c>
      <c r="S51" s="1">
        <f t="shared" si="6"/>
        <v>5582.33676</v>
      </c>
      <c r="T51" s="1">
        <f t="shared" si="7"/>
        <v>11149.33743</v>
      </c>
      <c r="U51" s="1">
        <f t="shared" si="8"/>
        <v>1633.293585</v>
      </c>
      <c r="V51" s="1">
        <f t="shared" si="9"/>
        <v>1993.6917</v>
      </c>
      <c r="W51" s="1">
        <f t="shared" si="10"/>
        <v>10022.13482</v>
      </c>
    </row>
    <row r="52">
      <c r="A52" s="15">
        <v>2024.0</v>
      </c>
      <c r="B52" s="15">
        <v>2.0</v>
      </c>
      <c r="C52" s="14" t="s">
        <v>6</v>
      </c>
      <c r="D52" s="14" t="s">
        <v>49</v>
      </c>
      <c r="E52" s="15">
        <v>15.0</v>
      </c>
      <c r="F52" s="15">
        <v>12.0</v>
      </c>
      <c r="G52" s="15">
        <v>24.6</v>
      </c>
      <c r="H52" s="15">
        <v>12.91</v>
      </c>
      <c r="I52" s="15">
        <v>12.3</v>
      </c>
      <c r="J52" s="15">
        <v>6.16</v>
      </c>
      <c r="K52" s="15">
        <v>2.0</v>
      </c>
      <c r="L52" s="15">
        <v>7.52</v>
      </c>
      <c r="M52" s="15">
        <v>7.51</v>
      </c>
      <c r="N52" s="4">
        <v>41995.35</v>
      </c>
      <c r="O52" s="1">
        <f t="shared" si="2"/>
        <v>6299.3025</v>
      </c>
      <c r="P52" s="1">
        <f t="shared" si="3"/>
        <v>5039.442</v>
      </c>
      <c r="Q52" s="1">
        <f t="shared" si="4"/>
        <v>10330.8561</v>
      </c>
      <c r="R52" s="1">
        <f t="shared" si="5"/>
        <v>5421.599685</v>
      </c>
      <c r="S52" s="1">
        <f t="shared" si="6"/>
        <v>5165.42805</v>
      </c>
      <c r="T52" s="1">
        <f t="shared" si="7"/>
        <v>2586.91356</v>
      </c>
      <c r="U52" s="1">
        <f t="shared" si="8"/>
        <v>839.907</v>
      </c>
      <c r="V52" s="1">
        <f t="shared" si="9"/>
        <v>3158.05032</v>
      </c>
      <c r="W52" s="1">
        <f t="shared" si="10"/>
        <v>3153.850785</v>
      </c>
    </row>
    <row r="53">
      <c r="A53" s="15">
        <v>2024.0</v>
      </c>
      <c r="B53" s="15">
        <v>2.0</v>
      </c>
      <c r="C53" s="14" t="s">
        <v>6</v>
      </c>
      <c r="D53" s="14" t="s">
        <v>50</v>
      </c>
      <c r="E53" s="15">
        <v>54.285714285714285</v>
      </c>
      <c r="F53" s="15">
        <v>10.714285714285714</v>
      </c>
      <c r="G53" s="15">
        <v>9.107142857142856</v>
      </c>
      <c r="H53" s="15">
        <v>15.357142857142856</v>
      </c>
      <c r="I53" s="15">
        <v>1.0714285714285714</v>
      </c>
      <c r="J53" s="15">
        <v>4.375</v>
      </c>
      <c r="K53" s="15">
        <v>0.8928571428571428</v>
      </c>
      <c r="L53" s="15">
        <v>1.6071428571428574</v>
      </c>
      <c r="M53" s="15">
        <v>2.589285714285714</v>
      </c>
      <c r="N53" s="4">
        <v>434244.0</v>
      </c>
      <c r="O53" s="1">
        <f t="shared" si="2"/>
        <v>235732.4571</v>
      </c>
      <c r="P53" s="1">
        <f t="shared" si="3"/>
        <v>46526.14286</v>
      </c>
      <c r="Q53" s="1">
        <f t="shared" si="4"/>
        <v>39547.22143</v>
      </c>
      <c r="R53" s="1">
        <f t="shared" si="5"/>
        <v>66687.47143</v>
      </c>
      <c r="S53" s="1">
        <f t="shared" si="6"/>
        <v>4652.614286</v>
      </c>
      <c r="T53" s="1">
        <f t="shared" si="7"/>
        <v>18998.175</v>
      </c>
      <c r="U53" s="1">
        <f t="shared" si="8"/>
        <v>3877.178571</v>
      </c>
      <c r="V53" s="1">
        <f t="shared" si="9"/>
        <v>6978.921429</v>
      </c>
      <c r="W53" s="1">
        <f t="shared" si="10"/>
        <v>11243.81786</v>
      </c>
    </row>
    <row r="54">
      <c r="A54" s="15">
        <v>2025.0</v>
      </c>
      <c r="B54" s="15">
        <v>2.0</v>
      </c>
      <c r="C54" s="14" t="s">
        <v>6</v>
      </c>
      <c r="D54" s="14" t="s">
        <v>7</v>
      </c>
      <c r="E54" s="15">
        <v>57.67</v>
      </c>
      <c r="F54" s="15">
        <v>10.63</v>
      </c>
      <c r="G54" s="15">
        <v>9.71</v>
      </c>
      <c r="H54" s="15">
        <v>16.42</v>
      </c>
      <c r="I54" s="15">
        <v>1.33</v>
      </c>
      <c r="J54" s="15">
        <v>1.25</v>
      </c>
      <c r="K54" s="15">
        <v>1.0</v>
      </c>
      <c r="L54" s="15">
        <v>1.17</v>
      </c>
      <c r="M54" s="15">
        <v>0.82</v>
      </c>
      <c r="N54" s="4">
        <v>348406.6</v>
      </c>
      <c r="O54" s="1">
        <f t="shared" si="2"/>
        <v>200926.0862</v>
      </c>
      <c r="P54" s="1">
        <f t="shared" si="3"/>
        <v>37035.62158</v>
      </c>
      <c r="Q54" s="1">
        <f t="shared" si="4"/>
        <v>33830.28086</v>
      </c>
      <c r="R54" s="1">
        <f t="shared" si="5"/>
        <v>57208.36372</v>
      </c>
      <c r="S54" s="1">
        <f t="shared" si="6"/>
        <v>4633.80778</v>
      </c>
      <c r="T54" s="1">
        <f t="shared" si="7"/>
        <v>4355.0825</v>
      </c>
      <c r="U54" s="1">
        <f t="shared" si="8"/>
        <v>3484.066</v>
      </c>
      <c r="V54" s="1">
        <f t="shared" si="9"/>
        <v>4076.35722</v>
      </c>
      <c r="W54" s="1">
        <f t="shared" si="10"/>
        <v>2856.93412</v>
      </c>
    </row>
    <row r="55">
      <c r="A55" s="15">
        <v>2025.0</v>
      </c>
      <c r="B55" s="15">
        <v>2.0</v>
      </c>
      <c r="C55" s="14" t="s">
        <v>6</v>
      </c>
      <c r="D55" s="14" t="s">
        <v>10</v>
      </c>
      <c r="E55" s="15">
        <v>35.1</v>
      </c>
      <c r="F55" s="15">
        <v>13.02</v>
      </c>
      <c r="G55" s="15">
        <v>10.77</v>
      </c>
      <c r="H55" s="15">
        <v>12.57</v>
      </c>
      <c r="I55" s="15">
        <v>0.36</v>
      </c>
      <c r="J55" s="15">
        <v>0.46</v>
      </c>
      <c r="K55" s="15">
        <v>0.29</v>
      </c>
      <c r="L55" s="15">
        <v>0.41</v>
      </c>
      <c r="M55" s="15">
        <v>27.02</v>
      </c>
      <c r="N55" s="4">
        <v>176363.8</v>
      </c>
      <c r="O55" s="1">
        <f t="shared" si="2"/>
        <v>61903.6938</v>
      </c>
      <c r="P55" s="1">
        <f t="shared" si="3"/>
        <v>22962.56676</v>
      </c>
      <c r="Q55" s="1">
        <f t="shared" si="4"/>
        <v>18994.38126</v>
      </c>
      <c r="R55" s="1">
        <f t="shared" si="5"/>
        <v>22168.92966</v>
      </c>
      <c r="S55" s="1">
        <f t="shared" si="6"/>
        <v>634.90968</v>
      </c>
      <c r="T55" s="1">
        <f t="shared" si="7"/>
        <v>811.27348</v>
      </c>
      <c r="U55" s="1">
        <f t="shared" si="8"/>
        <v>511.45502</v>
      </c>
      <c r="V55" s="1">
        <f t="shared" si="9"/>
        <v>723.09158</v>
      </c>
      <c r="W55" s="1">
        <f t="shared" si="10"/>
        <v>47653.49876</v>
      </c>
    </row>
    <row r="56">
      <c r="A56" s="15">
        <v>2025.0</v>
      </c>
      <c r="B56" s="15">
        <v>2.0</v>
      </c>
      <c r="C56" s="14" t="s">
        <v>6</v>
      </c>
      <c r="D56" s="14" t="s">
        <v>15</v>
      </c>
      <c r="E56" s="15">
        <v>21.53</v>
      </c>
      <c r="F56" s="15">
        <v>25.17</v>
      </c>
      <c r="G56" s="15">
        <v>6.95</v>
      </c>
      <c r="H56" s="15">
        <v>18.18</v>
      </c>
      <c r="I56" s="15">
        <v>0.44</v>
      </c>
      <c r="J56" s="15">
        <v>3.09</v>
      </c>
      <c r="K56" s="15">
        <v>2.86</v>
      </c>
      <c r="L56" s="15">
        <v>0.8</v>
      </c>
      <c r="M56" s="15">
        <v>20.98</v>
      </c>
      <c r="N56" s="4">
        <v>117432.9</v>
      </c>
      <c r="O56" s="1">
        <f t="shared" si="2"/>
        <v>25283.30337</v>
      </c>
      <c r="P56" s="1">
        <f t="shared" si="3"/>
        <v>29557.86093</v>
      </c>
      <c r="Q56" s="1">
        <f t="shared" si="4"/>
        <v>8161.58655</v>
      </c>
      <c r="R56" s="1">
        <f t="shared" si="5"/>
        <v>21349.30122</v>
      </c>
      <c r="S56" s="1">
        <f t="shared" si="6"/>
        <v>516.70476</v>
      </c>
      <c r="T56" s="1">
        <f t="shared" si="7"/>
        <v>3628.67661</v>
      </c>
      <c r="U56" s="1">
        <f t="shared" si="8"/>
        <v>3358.58094</v>
      </c>
      <c r="V56" s="1">
        <f t="shared" si="9"/>
        <v>939.4632</v>
      </c>
      <c r="W56" s="1">
        <f t="shared" si="10"/>
        <v>24637.42242</v>
      </c>
    </row>
    <row r="57">
      <c r="A57" s="15">
        <v>2025.0</v>
      </c>
      <c r="B57" s="15">
        <v>2.0</v>
      </c>
      <c r="C57" s="14" t="s">
        <v>6</v>
      </c>
      <c r="D57" s="14" t="s">
        <v>22</v>
      </c>
      <c r="E57" s="15">
        <v>71.3</v>
      </c>
      <c r="F57" s="15">
        <v>2.3</v>
      </c>
      <c r="G57" s="15">
        <v>2.5</v>
      </c>
      <c r="H57" s="15">
        <v>13.1</v>
      </c>
      <c r="I57" s="15">
        <v>0.2</v>
      </c>
      <c r="J57" s="15">
        <v>1.5</v>
      </c>
      <c r="K57" s="15">
        <v>0.4</v>
      </c>
      <c r="L57" s="15">
        <v>0.5</v>
      </c>
      <c r="M57" s="15">
        <v>8.2</v>
      </c>
      <c r="N57" s="4">
        <v>132810.9</v>
      </c>
      <c r="O57" s="1">
        <f t="shared" si="2"/>
        <v>94694.1717</v>
      </c>
      <c r="P57" s="1">
        <f t="shared" si="3"/>
        <v>3054.6507</v>
      </c>
      <c r="Q57" s="1">
        <f t="shared" si="4"/>
        <v>3320.2725</v>
      </c>
      <c r="R57" s="1">
        <f t="shared" si="5"/>
        <v>17398.2279</v>
      </c>
      <c r="S57" s="1">
        <f t="shared" si="6"/>
        <v>265.6218</v>
      </c>
      <c r="T57" s="1">
        <f t="shared" si="7"/>
        <v>1992.1635</v>
      </c>
      <c r="U57" s="1">
        <f t="shared" si="8"/>
        <v>531.2436</v>
      </c>
      <c r="V57" s="1">
        <f t="shared" si="9"/>
        <v>664.0545</v>
      </c>
      <c r="W57" s="1">
        <f t="shared" si="10"/>
        <v>10890.4938</v>
      </c>
    </row>
    <row r="58">
      <c r="A58" s="15">
        <v>2025.0</v>
      </c>
      <c r="B58" s="15">
        <v>2.0</v>
      </c>
      <c r="C58" s="14" t="s">
        <v>6</v>
      </c>
      <c r="D58" s="14" t="s">
        <v>26</v>
      </c>
      <c r="E58" s="15">
        <v>45.41</v>
      </c>
      <c r="F58" s="15">
        <v>6.71</v>
      </c>
      <c r="G58" s="15">
        <v>4.43</v>
      </c>
      <c r="H58" s="15">
        <v>24.87</v>
      </c>
      <c r="I58" s="15">
        <v>0.61</v>
      </c>
      <c r="J58" s="15">
        <v>2.15</v>
      </c>
      <c r="K58" s="15">
        <v>0.68</v>
      </c>
      <c r="L58" s="15">
        <v>1.32</v>
      </c>
      <c r="M58" s="15">
        <v>13.82</v>
      </c>
      <c r="N58" s="4">
        <v>241768.0</v>
      </c>
      <c r="O58" s="1">
        <f t="shared" si="2"/>
        <v>109786.8488</v>
      </c>
      <c r="P58" s="1">
        <f t="shared" si="3"/>
        <v>16222.6328</v>
      </c>
      <c r="Q58" s="1">
        <f t="shared" si="4"/>
        <v>10710.3224</v>
      </c>
      <c r="R58" s="1">
        <f t="shared" si="5"/>
        <v>60127.7016</v>
      </c>
      <c r="S58" s="1">
        <f t="shared" si="6"/>
        <v>1474.7848</v>
      </c>
      <c r="T58" s="1">
        <f t="shared" si="7"/>
        <v>5198.012</v>
      </c>
      <c r="U58" s="1">
        <f t="shared" si="8"/>
        <v>1644.0224</v>
      </c>
      <c r="V58" s="1">
        <f t="shared" si="9"/>
        <v>3191.3376</v>
      </c>
      <c r="W58" s="1">
        <f t="shared" si="10"/>
        <v>33412.3376</v>
      </c>
    </row>
    <row r="59">
      <c r="A59" s="15">
        <v>2025.0</v>
      </c>
      <c r="B59" s="15">
        <v>2.0</v>
      </c>
      <c r="C59" s="14" t="s">
        <v>6</v>
      </c>
      <c r="D59" s="14" t="s">
        <v>29</v>
      </c>
      <c r="E59" s="15">
        <v>27.705</v>
      </c>
      <c r="F59" s="15">
        <v>24.01</v>
      </c>
      <c r="G59" s="15">
        <v>11.965</v>
      </c>
      <c r="H59" s="15">
        <v>22.04</v>
      </c>
      <c r="I59" s="15">
        <v>9.485</v>
      </c>
      <c r="J59" s="15">
        <v>2.195</v>
      </c>
      <c r="K59" s="15">
        <v>0.88</v>
      </c>
      <c r="L59" s="15">
        <v>0.485</v>
      </c>
      <c r="M59" s="15">
        <v>1.235</v>
      </c>
      <c r="N59" s="4">
        <v>108373.7</v>
      </c>
      <c r="O59" s="1">
        <f t="shared" si="2"/>
        <v>30024.93359</v>
      </c>
      <c r="P59" s="1">
        <f t="shared" si="3"/>
        <v>26020.52537</v>
      </c>
      <c r="Q59" s="1">
        <f t="shared" si="4"/>
        <v>12966.91321</v>
      </c>
      <c r="R59" s="1">
        <f t="shared" si="5"/>
        <v>23885.56348</v>
      </c>
      <c r="S59" s="1">
        <f t="shared" si="6"/>
        <v>10279.24545</v>
      </c>
      <c r="T59" s="1">
        <f t="shared" si="7"/>
        <v>2378.802715</v>
      </c>
      <c r="U59" s="1">
        <f t="shared" si="8"/>
        <v>953.68856</v>
      </c>
      <c r="V59" s="1">
        <f t="shared" si="9"/>
        <v>525.612445</v>
      </c>
      <c r="W59" s="1">
        <f t="shared" si="10"/>
        <v>1338.415195</v>
      </c>
    </row>
    <row r="60">
      <c r="A60" s="15">
        <v>2025.0</v>
      </c>
      <c r="B60" s="15">
        <v>2.0</v>
      </c>
      <c r="C60" s="14" t="s">
        <v>6</v>
      </c>
      <c r="D60" s="14" t="s">
        <v>31</v>
      </c>
      <c r="E60" s="15">
        <v>60.0</v>
      </c>
      <c r="F60" s="15">
        <v>5.0</v>
      </c>
      <c r="G60" s="15">
        <v>5.0</v>
      </c>
      <c r="H60" s="15">
        <v>20.0</v>
      </c>
      <c r="I60" s="15">
        <v>0.5</v>
      </c>
      <c r="J60" s="15">
        <v>5.0</v>
      </c>
      <c r="K60" s="15">
        <v>3.0</v>
      </c>
      <c r="L60" s="15">
        <v>0.5</v>
      </c>
      <c r="M60" s="15">
        <v>1.0</v>
      </c>
      <c r="N60" s="4">
        <v>237050.7</v>
      </c>
      <c r="O60" s="1">
        <f t="shared" si="2"/>
        <v>142230.42</v>
      </c>
      <c r="P60" s="1">
        <f t="shared" si="3"/>
        <v>11852.535</v>
      </c>
      <c r="Q60" s="1">
        <f t="shared" si="4"/>
        <v>11852.535</v>
      </c>
      <c r="R60" s="1">
        <f t="shared" si="5"/>
        <v>47410.14</v>
      </c>
      <c r="S60" s="1">
        <f t="shared" si="6"/>
        <v>1185.2535</v>
      </c>
      <c r="T60" s="1">
        <f t="shared" si="7"/>
        <v>11852.535</v>
      </c>
      <c r="U60" s="1">
        <f t="shared" si="8"/>
        <v>7111.521</v>
      </c>
      <c r="V60" s="1">
        <f t="shared" si="9"/>
        <v>1185.2535</v>
      </c>
      <c r="W60" s="1">
        <f t="shared" si="10"/>
        <v>2370.507</v>
      </c>
    </row>
    <row r="61">
      <c r="A61" s="15">
        <v>2025.0</v>
      </c>
      <c r="B61" s="15">
        <v>2.0</v>
      </c>
      <c r="C61" s="14" t="s">
        <v>6</v>
      </c>
      <c r="D61" s="14" t="s">
        <v>32</v>
      </c>
      <c r="E61" s="15">
        <v>52.25</v>
      </c>
      <c r="F61" s="15">
        <v>0.42</v>
      </c>
      <c r="G61" s="15">
        <v>12.9</v>
      </c>
      <c r="H61" s="15">
        <v>23.9</v>
      </c>
      <c r="I61" s="15">
        <v>0.91</v>
      </c>
      <c r="J61" s="15">
        <v>1.29</v>
      </c>
      <c r="K61" s="15">
        <v>0.58</v>
      </c>
      <c r="L61" s="15">
        <v>1.03</v>
      </c>
      <c r="M61" s="15">
        <v>6.72</v>
      </c>
      <c r="N61" s="4">
        <v>133114.8</v>
      </c>
      <c r="O61" s="1">
        <f t="shared" si="2"/>
        <v>69552.483</v>
      </c>
      <c r="P61" s="1">
        <f t="shared" si="3"/>
        <v>559.08216</v>
      </c>
      <c r="Q61" s="1">
        <f t="shared" si="4"/>
        <v>17171.8092</v>
      </c>
      <c r="R61" s="1">
        <f t="shared" si="5"/>
        <v>31814.4372</v>
      </c>
      <c r="S61" s="1">
        <f t="shared" si="6"/>
        <v>1211.34468</v>
      </c>
      <c r="T61" s="1">
        <f t="shared" si="7"/>
        <v>1717.18092</v>
      </c>
      <c r="U61" s="1">
        <f t="shared" si="8"/>
        <v>772.06584</v>
      </c>
      <c r="V61" s="1">
        <f t="shared" si="9"/>
        <v>1371.08244</v>
      </c>
      <c r="W61" s="1">
        <f t="shared" si="10"/>
        <v>8945.31456</v>
      </c>
    </row>
    <row r="62">
      <c r="A62" s="15">
        <v>2025.0</v>
      </c>
      <c r="B62" s="15">
        <v>2.0</v>
      </c>
      <c r="C62" s="14" t="s">
        <v>6</v>
      </c>
      <c r="D62" s="14" t="s">
        <v>33</v>
      </c>
      <c r="E62" s="15">
        <v>53.0</v>
      </c>
      <c r="F62" s="15">
        <v>12.0</v>
      </c>
      <c r="G62" s="15">
        <v>16.0</v>
      </c>
      <c r="H62" s="15">
        <v>11.0</v>
      </c>
      <c r="I62" s="15">
        <v>1.0</v>
      </c>
      <c r="J62" s="15">
        <v>3.0</v>
      </c>
      <c r="K62" s="15">
        <v>1.0</v>
      </c>
      <c r="L62" s="15">
        <v>1.0</v>
      </c>
      <c r="M62" s="15">
        <v>2.0</v>
      </c>
      <c r="N62" s="4">
        <v>127999.0</v>
      </c>
      <c r="O62" s="1">
        <f t="shared" si="2"/>
        <v>67839.47</v>
      </c>
      <c r="P62" s="1">
        <f t="shared" si="3"/>
        <v>15359.88</v>
      </c>
      <c r="Q62" s="1">
        <f t="shared" si="4"/>
        <v>20479.84</v>
      </c>
      <c r="R62" s="1">
        <f t="shared" si="5"/>
        <v>14079.89</v>
      </c>
      <c r="S62" s="1">
        <f t="shared" si="6"/>
        <v>1279.99</v>
      </c>
      <c r="T62" s="1">
        <f t="shared" si="7"/>
        <v>3839.97</v>
      </c>
      <c r="U62" s="1">
        <f t="shared" si="8"/>
        <v>1279.99</v>
      </c>
      <c r="V62" s="1">
        <f t="shared" si="9"/>
        <v>1279.99</v>
      </c>
      <c r="W62" s="1">
        <f t="shared" si="10"/>
        <v>2559.98</v>
      </c>
    </row>
    <row r="63">
      <c r="A63" s="15">
        <v>2025.0</v>
      </c>
      <c r="B63" s="15">
        <v>2.0</v>
      </c>
      <c r="C63" s="14" t="s">
        <v>6</v>
      </c>
      <c r="D63" s="14" t="s">
        <v>34</v>
      </c>
      <c r="E63" s="15">
        <v>63.0</v>
      </c>
      <c r="F63" s="15">
        <v>2.5</v>
      </c>
      <c r="G63" s="15">
        <v>5.0</v>
      </c>
      <c r="H63" s="15">
        <v>19.0</v>
      </c>
      <c r="I63" s="15">
        <v>2.0</v>
      </c>
      <c r="J63" s="15">
        <v>2.0</v>
      </c>
      <c r="K63" s="15">
        <v>1.5</v>
      </c>
      <c r="L63" s="15">
        <v>3.0</v>
      </c>
      <c r="M63" s="15">
        <v>2.0</v>
      </c>
      <c r="N63" s="4">
        <v>138814.3</v>
      </c>
      <c r="O63" s="1">
        <f t="shared" si="2"/>
        <v>87453.009</v>
      </c>
      <c r="P63" s="1">
        <f t="shared" si="3"/>
        <v>3470.3575</v>
      </c>
      <c r="Q63" s="1">
        <f t="shared" si="4"/>
        <v>6940.715</v>
      </c>
      <c r="R63" s="1">
        <f t="shared" si="5"/>
        <v>26374.717</v>
      </c>
      <c r="S63" s="1">
        <f t="shared" si="6"/>
        <v>2776.286</v>
      </c>
      <c r="T63" s="1">
        <f t="shared" si="7"/>
        <v>2776.286</v>
      </c>
      <c r="U63" s="1">
        <f t="shared" si="8"/>
        <v>2082.2145</v>
      </c>
      <c r="V63" s="1">
        <f t="shared" si="9"/>
        <v>4164.429</v>
      </c>
      <c r="W63" s="1">
        <f t="shared" si="10"/>
        <v>2776.286</v>
      </c>
    </row>
    <row r="64">
      <c r="A64" s="15">
        <v>2025.0</v>
      </c>
      <c r="B64" s="15">
        <v>2.0</v>
      </c>
      <c r="C64" s="14" t="s">
        <v>6</v>
      </c>
      <c r="D64" s="14" t="s">
        <v>35</v>
      </c>
      <c r="E64" s="15">
        <v>49.18</v>
      </c>
      <c r="F64" s="15">
        <v>17.04</v>
      </c>
      <c r="G64" s="15">
        <v>8.23</v>
      </c>
      <c r="H64" s="15">
        <v>16.46</v>
      </c>
      <c r="I64" s="15">
        <v>0.52</v>
      </c>
      <c r="J64" s="15">
        <v>0.9</v>
      </c>
      <c r="K64" s="15">
        <v>0.38</v>
      </c>
      <c r="L64" s="15">
        <v>0.52</v>
      </c>
      <c r="M64" s="15">
        <v>6.77</v>
      </c>
      <c r="N64" s="4">
        <v>217301.2</v>
      </c>
      <c r="O64" s="1">
        <f t="shared" si="2"/>
        <v>106868.7302</v>
      </c>
      <c r="P64" s="1">
        <f t="shared" si="3"/>
        <v>37028.12448</v>
      </c>
      <c r="Q64" s="1">
        <f t="shared" si="4"/>
        <v>17883.88876</v>
      </c>
      <c r="R64" s="1">
        <f t="shared" si="5"/>
        <v>35767.77752</v>
      </c>
      <c r="S64" s="1">
        <f t="shared" si="6"/>
        <v>1129.96624</v>
      </c>
      <c r="T64" s="1">
        <f t="shared" si="7"/>
        <v>1955.7108</v>
      </c>
      <c r="U64" s="1">
        <f t="shared" si="8"/>
        <v>825.74456</v>
      </c>
      <c r="V64" s="1">
        <f t="shared" si="9"/>
        <v>1129.96624</v>
      </c>
      <c r="W64" s="1">
        <f t="shared" si="10"/>
        <v>14711.29124</v>
      </c>
    </row>
    <row r="65">
      <c r="A65" s="15">
        <v>2025.0</v>
      </c>
      <c r="B65" s="15">
        <v>2.0</v>
      </c>
      <c r="C65" s="14" t="s">
        <v>6</v>
      </c>
      <c r="D65" s="14" t="s">
        <v>36</v>
      </c>
      <c r="E65" s="15">
        <v>41.09</v>
      </c>
      <c r="F65" s="15">
        <v>12.93</v>
      </c>
      <c r="G65" s="15">
        <v>8.76</v>
      </c>
      <c r="H65" s="15">
        <v>17.82</v>
      </c>
      <c r="I65" s="15">
        <v>2.4</v>
      </c>
      <c r="J65" s="15">
        <v>2.08</v>
      </c>
      <c r="K65" s="15">
        <v>0.98</v>
      </c>
      <c r="L65" s="15">
        <v>3.51</v>
      </c>
      <c r="M65" s="15">
        <v>10.43</v>
      </c>
      <c r="N65" s="4">
        <v>251092.6</v>
      </c>
      <c r="O65" s="1">
        <f t="shared" si="2"/>
        <v>103173.9493</v>
      </c>
      <c r="P65" s="1">
        <f t="shared" si="3"/>
        <v>32466.27318</v>
      </c>
      <c r="Q65" s="1">
        <f t="shared" si="4"/>
        <v>21995.71176</v>
      </c>
      <c r="R65" s="1">
        <f t="shared" si="5"/>
        <v>44744.70132</v>
      </c>
      <c r="S65" s="1">
        <f t="shared" si="6"/>
        <v>6026.2224</v>
      </c>
      <c r="T65" s="1">
        <f t="shared" si="7"/>
        <v>5222.72608</v>
      </c>
      <c r="U65" s="1">
        <f t="shared" si="8"/>
        <v>2460.70748</v>
      </c>
      <c r="V65" s="1">
        <f t="shared" si="9"/>
        <v>8813.35026</v>
      </c>
      <c r="W65" s="1">
        <f t="shared" si="10"/>
        <v>26188.95818</v>
      </c>
    </row>
    <row r="66">
      <c r="A66" s="15">
        <v>2025.0</v>
      </c>
      <c r="B66" s="15">
        <v>2.0</v>
      </c>
      <c r="C66" s="14" t="s">
        <v>6</v>
      </c>
      <c r="D66" s="14" t="s">
        <v>37</v>
      </c>
      <c r="E66" s="15">
        <v>30.15</v>
      </c>
      <c r="F66" s="15">
        <v>20.89</v>
      </c>
      <c r="G66" s="15">
        <v>14.58</v>
      </c>
      <c r="H66" s="15">
        <v>13.02</v>
      </c>
      <c r="I66" s="15">
        <v>5.24</v>
      </c>
      <c r="J66" s="15">
        <v>5.43</v>
      </c>
      <c r="K66" s="15">
        <v>3.62</v>
      </c>
      <c r="L66" s="15">
        <v>5.77</v>
      </c>
      <c r="M66" s="15">
        <v>1.3</v>
      </c>
      <c r="N66" s="4">
        <v>159061.3</v>
      </c>
      <c r="O66" s="1">
        <f t="shared" si="2"/>
        <v>47956.98195</v>
      </c>
      <c r="P66" s="1">
        <f t="shared" si="3"/>
        <v>33227.90557</v>
      </c>
      <c r="Q66" s="1">
        <f t="shared" si="4"/>
        <v>23191.13754</v>
      </c>
      <c r="R66" s="1">
        <f t="shared" si="5"/>
        <v>20709.78126</v>
      </c>
      <c r="S66" s="1">
        <f t="shared" si="6"/>
        <v>8334.81212</v>
      </c>
      <c r="T66" s="1">
        <f t="shared" si="7"/>
        <v>8637.02859</v>
      </c>
      <c r="U66" s="1">
        <f t="shared" si="8"/>
        <v>5758.01906</v>
      </c>
      <c r="V66" s="1">
        <f t="shared" si="9"/>
        <v>9177.83701</v>
      </c>
      <c r="W66" s="1">
        <f t="shared" si="10"/>
        <v>2067.7969</v>
      </c>
    </row>
    <row r="67">
      <c r="A67" s="15">
        <v>2025.0</v>
      </c>
      <c r="B67" s="15">
        <v>2.0</v>
      </c>
      <c r="C67" s="14" t="s">
        <v>6</v>
      </c>
      <c r="D67" s="14" t="s">
        <v>38</v>
      </c>
      <c r="E67" s="15">
        <v>53.31</v>
      </c>
      <c r="F67" s="15">
        <v>0.96</v>
      </c>
      <c r="G67" s="15">
        <v>8.79</v>
      </c>
      <c r="H67" s="15">
        <v>23.36</v>
      </c>
      <c r="I67" s="15">
        <v>0.69</v>
      </c>
      <c r="J67" s="15">
        <v>2.44</v>
      </c>
      <c r="K67" s="15">
        <v>0.94</v>
      </c>
      <c r="L67" s="15">
        <v>1.16</v>
      </c>
      <c r="M67" s="15">
        <v>8.35</v>
      </c>
      <c r="N67" s="4">
        <v>154571.5</v>
      </c>
      <c r="O67" s="1">
        <f t="shared" si="2"/>
        <v>82402.06665</v>
      </c>
      <c r="P67" s="1">
        <f t="shared" si="3"/>
        <v>1483.8864</v>
      </c>
      <c r="Q67" s="1">
        <f t="shared" si="4"/>
        <v>13586.83485</v>
      </c>
      <c r="R67" s="1">
        <f t="shared" si="5"/>
        <v>36107.9024</v>
      </c>
      <c r="S67" s="1">
        <f t="shared" si="6"/>
        <v>1066.54335</v>
      </c>
      <c r="T67" s="1">
        <f t="shared" si="7"/>
        <v>3771.5446</v>
      </c>
      <c r="U67" s="1">
        <f t="shared" si="8"/>
        <v>1452.9721</v>
      </c>
      <c r="V67" s="1">
        <f t="shared" si="9"/>
        <v>1793.0294</v>
      </c>
      <c r="W67" s="1">
        <f t="shared" si="10"/>
        <v>12906.72025</v>
      </c>
    </row>
    <row r="68">
      <c r="A68" s="15">
        <v>2025.0</v>
      </c>
      <c r="B68" s="15">
        <v>2.0</v>
      </c>
      <c r="C68" s="14" t="s">
        <v>6</v>
      </c>
      <c r="D68" s="14" t="s">
        <v>39</v>
      </c>
      <c r="E68" s="15">
        <v>39.69</v>
      </c>
      <c r="F68" s="15">
        <v>12.9</v>
      </c>
      <c r="G68" s="15">
        <v>12.08</v>
      </c>
      <c r="H68" s="15">
        <v>17.89</v>
      </c>
      <c r="I68" s="15">
        <v>3.26</v>
      </c>
      <c r="J68" s="15">
        <v>2.49</v>
      </c>
      <c r="K68" s="15">
        <v>1.75</v>
      </c>
      <c r="L68" s="15">
        <v>2.36</v>
      </c>
      <c r="M68" s="15">
        <v>7.58</v>
      </c>
      <c r="N68" s="4">
        <v>267884.5</v>
      </c>
      <c r="O68" s="1">
        <f t="shared" si="2"/>
        <v>106323.3581</v>
      </c>
      <c r="P68" s="1">
        <f t="shared" si="3"/>
        <v>34557.1005</v>
      </c>
      <c r="Q68" s="1">
        <f t="shared" si="4"/>
        <v>32360.4476</v>
      </c>
      <c r="R68" s="1">
        <f t="shared" si="5"/>
        <v>47924.53705</v>
      </c>
      <c r="S68" s="1">
        <f t="shared" si="6"/>
        <v>8733.0347</v>
      </c>
      <c r="T68" s="1">
        <f t="shared" si="7"/>
        <v>6670.32405</v>
      </c>
      <c r="U68" s="1">
        <f t="shared" si="8"/>
        <v>4687.97875</v>
      </c>
      <c r="V68" s="1">
        <f t="shared" si="9"/>
        <v>6322.0742</v>
      </c>
      <c r="W68" s="1">
        <f t="shared" si="10"/>
        <v>20305.6451</v>
      </c>
    </row>
    <row r="69">
      <c r="A69" s="15">
        <v>2025.0</v>
      </c>
      <c r="B69" s="15">
        <v>2.0</v>
      </c>
      <c r="C69" s="14" t="s">
        <v>6</v>
      </c>
      <c r="D69" s="14" t="s">
        <v>40</v>
      </c>
      <c r="E69" s="15">
        <v>71.56</v>
      </c>
      <c r="F69" s="15">
        <v>1.58</v>
      </c>
      <c r="G69" s="15">
        <v>4.25</v>
      </c>
      <c r="H69" s="15">
        <v>18.52</v>
      </c>
      <c r="I69" s="15">
        <v>0.27</v>
      </c>
      <c r="J69" s="15">
        <v>0.18</v>
      </c>
      <c r="K69" s="15">
        <v>1.0</v>
      </c>
      <c r="L69" s="15">
        <v>0.38</v>
      </c>
      <c r="M69" s="15">
        <v>2.26</v>
      </c>
      <c r="N69" s="4">
        <v>194601.9</v>
      </c>
      <c r="O69" s="1">
        <f t="shared" si="2"/>
        <v>139257.1196</v>
      </c>
      <c r="P69" s="1">
        <f t="shared" si="3"/>
        <v>3074.71002</v>
      </c>
      <c r="Q69" s="1">
        <f t="shared" si="4"/>
        <v>8270.58075</v>
      </c>
      <c r="R69" s="1">
        <f t="shared" si="5"/>
        <v>36040.27188</v>
      </c>
      <c r="S69" s="1">
        <f t="shared" si="6"/>
        <v>525.42513</v>
      </c>
      <c r="T69" s="1">
        <f t="shared" si="7"/>
        <v>350.28342</v>
      </c>
      <c r="U69" s="1">
        <f t="shared" si="8"/>
        <v>1946.019</v>
      </c>
      <c r="V69" s="1">
        <f t="shared" si="9"/>
        <v>739.48722</v>
      </c>
      <c r="W69" s="1">
        <f t="shared" si="10"/>
        <v>4398.00294</v>
      </c>
    </row>
    <row r="70">
      <c r="A70" s="15">
        <v>2025.0</v>
      </c>
      <c r="B70" s="15">
        <v>2.0</v>
      </c>
      <c r="C70" s="14" t="s">
        <v>6</v>
      </c>
      <c r="D70" s="14" t="s">
        <v>41</v>
      </c>
      <c r="E70" s="15">
        <v>31.22</v>
      </c>
      <c r="F70" s="15">
        <v>15.43</v>
      </c>
      <c r="G70" s="15">
        <v>8.05</v>
      </c>
      <c r="H70" s="15">
        <v>19.41</v>
      </c>
      <c r="I70" s="15">
        <v>7.63</v>
      </c>
      <c r="J70" s="15">
        <v>1.84</v>
      </c>
      <c r="K70" s="15">
        <v>2.05</v>
      </c>
      <c r="L70" s="15">
        <v>2.24</v>
      </c>
      <c r="M70" s="15">
        <v>12.13</v>
      </c>
      <c r="N70" s="4">
        <v>147357.8</v>
      </c>
      <c r="O70" s="1">
        <f t="shared" si="2"/>
        <v>46005.10516</v>
      </c>
      <c r="P70" s="1">
        <f t="shared" si="3"/>
        <v>22737.30854</v>
      </c>
      <c r="Q70" s="1">
        <f t="shared" si="4"/>
        <v>11862.3029</v>
      </c>
      <c r="R70" s="1">
        <f t="shared" si="5"/>
        <v>28602.14898</v>
      </c>
      <c r="S70" s="1">
        <f t="shared" si="6"/>
        <v>11243.40014</v>
      </c>
      <c r="T70" s="1">
        <f t="shared" si="7"/>
        <v>2711.38352</v>
      </c>
      <c r="U70" s="1">
        <f t="shared" si="8"/>
        <v>3020.8349</v>
      </c>
      <c r="V70" s="1">
        <f t="shared" si="9"/>
        <v>3300.81472</v>
      </c>
      <c r="W70" s="1">
        <f t="shared" si="10"/>
        <v>17874.50114</v>
      </c>
    </row>
    <row r="71">
      <c r="A71" s="15">
        <v>2025.0</v>
      </c>
      <c r="B71" s="15">
        <v>2.0</v>
      </c>
      <c r="C71" s="14" t="s">
        <v>6</v>
      </c>
      <c r="D71" s="14" t="s">
        <v>42</v>
      </c>
      <c r="E71" s="15">
        <v>30.61</v>
      </c>
      <c r="F71" s="15">
        <v>15.08</v>
      </c>
      <c r="G71" s="15">
        <v>9.49</v>
      </c>
      <c r="H71" s="15">
        <v>23.02</v>
      </c>
      <c r="I71" s="15">
        <v>0.29</v>
      </c>
      <c r="J71" s="15">
        <v>8.0</v>
      </c>
      <c r="K71" s="15">
        <v>1.07</v>
      </c>
      <c r="L71" s="15">
        <v>0.87</v>
      </c>
      <c r="M71" s="15">
        <v>11.57</v>
      </c>
      <c r="N71" s="4">
        <v>153796.4</v>
      </c>
      <c r="O71" s="1">
        <f t="shared" si="2"/>
        <v>47077.07804</v>
      </c>
      <c r="P71" s="1">
        <f t="shared" si="3"/>
        <v>23192.49712</v>
      </c>
      <c r="Q71" s="1">
        <f t="shared" si="4"/>
        <v>14595.27836</v>
      </c>
      <c r="R71" s="1">
        <f t="shared" si="5"/>
        <v>35403.93128</v>
      </c>
      <c r="S71" s="1">
        <f t="shared" si="6"/>
        <v>446.00956</v>
      </c>
      <c r="T71" s="1">
        <f t="shared" si="7"/>
        <v>12303.712</v>
      </c>
      <c r="U71" s="1">
        <f t="shared" si="8"/>
        <v>1645.62148</v>
      </c>
      <c r="V71" s="1">
        <f t="shared" si="9"/>
        <v>1338.02868</v>
      </c>
      <c r="W71" s="1">
        <f t="shared" si="10"/>
        <v>17794.24348</v>
      </c>
    </row>
    <row r="72">
      <c r="A72" s="15">
        <v>2025.0</v>
      </c>
      <c r="B72" s="15">
        <v>2.0</v>
      </c>
      <c r="C72" s="14" t="s">
        <v>6</v>
      </c>
      <c r="D72" s="14" t="s">
        <v>43</v>
      </c>
      <c r="E72" s="15">
        <v>32.1</v>
      </c>
      <c r="F72" s="15">
        <v>14.0</v>
      </c>
      <c r="G72" s="15">
        <v>9.4</v>
      </c>
      <c r="H72" s="15">
        <v>28.2</v>
      </c>
      <c r="I72" s="15">
        <v>2.3</v>
      </c>
      <c r="J72" s="15">
        <v>2.2</v>
      </c>
      <c r="K72" s="15">
        <v>1.6</v>
      </c>
      <c r="L72" s="15">
        <v>1.2</v>
      </c>
      <c r="M72" s="15">
        <v>9.0</v>
      </c>
      <c r="N72" s="4">
        <v>144022.4</v>
      </c>
      <c r="O72" s="1">
        <f t="shared" si="2"/>
        <v>46231.1904</v>
      </c>
      <c r="P72" s="1">
        <f t="shared" si="3"/>
        <v>20163.136</v>
      </c>
      <c r="Q72" s="1">
        <f t="shared" si="4"/>
        <v>13538.1056</v>
      </c>
      <c r="R72" s="1">
        <f t="shared" si="5"/>
        <v>40614.3168</v>
      </c>
      <c r="S72" s="1">
        <f t="shared" si="6"/>
        <v>3312.5152</v>
      </c>
      <c r="T72" s="1">
        <f t="shared" si="7"/>
        <v>3168.4928</v>
      </c>
      <c r="U72" s="1">
        <f t="shared" si="8"/>
        <v>2304.3584</v>
      </c>
      <c r="V72" s="1">
        <f t="shared" si="9"/>
        <v>1728.2688</v>
      </c>
      <c r="W72" s="1">
        <f t="shared" si="10"/>
        <v>12962.016</v>
      </c>
    </row>
    <row r="73">
      <c r="A73" s="15">
        <v>2025.0</v>
      </c>
      <c r="B73" s="15">
        <v>2.0</v>
      </c>
      <c r="C73" s="14" t="s">
        <v>6</v>
      </c>
      <c r="D73" s="14" t="s">
        <v>44</v>
      </c>
      <c r="E73" s="15">
        <v>19.5</v>
      </c>
      <c r="F73" s="15">
        <v>18.5</v>
      </c>
      <c r="G73" s="15">
        <v>14.5</v>
      </c>
      <c r="H73" s="15">
        <v>17.5</v>
      </c>
      <c r="I73" s="15">
        <v>12.0</v>
      </c>
      <c r="J73" s="15">
        <v>4.0</v>
      </c>
      <c r="K73" s="15">
        <v>7.0</v>
      </c>
      <c r="L73" s="15">
        <v>5.0</v>
      </c>
      <c r="M73" s="15">
        <v>2.0</v>
      </c>
      <c r="N73" s="4">
        <v>219110.1</v>
      </c>
      <c r="O73" s="1">
        <f t="shared" si="2"/>
        <v>42726.4695</v>
      </c>
      <c r="P73" s="1">
        <f t="shared" si="3"/>
        <v>40535.3685</v>
      </c>
      <c r="Q73" s="1">
        <f t="shared" si="4"/>
        <v>31770.9645</v>
      </c>
      <c r="R73" s="1">
        <f t="shared" si="5"/>
        <v>38344.2675</v>
      </c>
      <c r="S73" s="1">
        <f t="shared" si="6"/>
        <v>26293.212</v>
      </c>
      <c r="T73" s="1">
        <f t="shared" si="7"/>
        <v>8764.404</v>
      </c>
      <c r="U73" s="1">
        <f t="shared" si="8"/>
        <v>15337.707</v>
      </c>
      <c r="V73" s="1">
        <f t="shared" si="9"/>
        <v>10955.505</v>
      </c>
      <c r="W73" s="1">
        <f t="shared" si="10"/>
        <v>4382.202</v>
      </c>
    </row>
    <row r="74">
      <c r="A74" s="15">
        <v>2025.0</v>
      </c>
      <c r="B74" s="15">
        <v>2.0</v>
      </c>
      <c r="C74" s="14" t="s">
        <v>6</v>
      </c>
      <c r="D74" s="14" t="s">
        <v>45</v>
      </c>
      <c r="E74" s="15">
        <v>52.54</v>
      </c>
      <c r="F74" s="15">
        <v>3.39</v>
      </c>
      <c r="G74" s="15">
        <v>4.46</v>
      </c>
      <c r="H74" s="15">
        <v>23.09</v>
      </c>
      <c r="I74" s="15">
        <v>0.21</v>
      </c>
      <c r="J74" s="15">
        <v>4.14</v>
      </c>
      <c r="K74" s="15">
        <v>1.0</v>
      </c>
      <c r="L74" s="15">
        <v>0.93</v>
      </c>
      <c r="M74" s="15">
        <v>10.24</v>
      </c>
      <c r="N74" s="4">
        <v>220493.7</v>
      </c>
      <c r="O74" s="1">
        <f t="shared" si="2"/>
        <v>115847.39</v>
      </c>
      <c r="P74" s="1">
        <f t="shared" si="3"/>
        <v>7474.73643</v>
      </c>
      <c r="Q74" s="1">
        <f t="shared" si="4"/>
        <v>9834.01902</v>
      </c>
      <c r="R74" s="1">
        <f t="shared" si="5"/>
        <v>50911.99533</v>
      </c>
      <c r="S74" s="1">
        <f t="shared" si="6"/>
        <v>463.03677</v>
      </c>
      <c r="T74" s="1">
        <f t="shared" si="7"/>
        <v>9128.43918</v>
      </c>
      <c r="U74" s="1">
        <f t="shared" si="8"/>
        <v>2204.937</v>
      </c>
      <c r="V74" s="1">
        <f t="shared" si="9"/>
        <v>2050.59141</v>
      </c>
      <c r="W74" s="1">
        <f t="shared" si="10"/>
        <v>22578.55488</v>
      </c>
    </row>
    <row r="75">
      <c r="A75" s="15">
        <v>2025.0</v>
      </c>
      <c r="B75" s="15">
        <v>2.0</v>
      </c>
      <c r="C75" s="14" t="s">
        <v>6</v>
      </c>
      <c r="D75" s="14" t="s">
        <v>46</v>
      </c>
      <c r="E75" s="15">
        <v>5.0</v>
      </c>
      <c r="F75" s="15">
        <v>50.0</v>
      </c>
      <c r="G75" s="15">
        <v>5.0</v>
      </c>
      <c r="H75" s="15">
        <v>25.0</v>
      </c>
      <c r="I75" s="15">
        <v>4.0</v>
      </c>
      <c r="J75" s="15">
        <v>4.0</v>
      </c>
      <c r="K75" s="15">
        <v>1.0</v>
      </c>
      <c r="L75" s="15">
        <v>1.0</v>
      </c>
      <c r="M75" s="15">
        <v>5.0</v>
      </c>
      <c r="N75" s="4">
        <v>366937.6</v>
      </c>
      <c r="O75" s="1">
        <f t="shared" si="2"/>
        <v>18346.88</v>
      </c>
      <c r="P75" s="1">
        <f t="shared" si="3"/>
        <v>183468.8</v>
      </c>
      <c r="Q75" s="1">
        <f t="shared" si="4"/>
        <v>18346.88</v>
      </c>
      <c r="R75" s="1">
        <f t="shared" si="5"/>
        <v>91734.4</v>
      </c>
      <c r="S75" s="1">
        <f t="shared" si="6"/>
        <v>14677.504</v>
      </c>
      <c r="T75" s="1">
        <f t="shared" si="7"/>
        <v>14677.504</v>
      </c>
      <c r="U75" s="1">
        <f t="shared" si="8"/>
        <v>3669.376</v>
      </c>
      <c r="V75" s="1">
        <f t="shared" si="9"/>
        <v>3669.376</v>
      </c>
      <c r="W75" s="1">
        <f t="shared" si="10"/>
        <v>18346.88</v>
      </c>
    </row>
    <row r="76">
      <c r="A76" s="15">
        <v>2025.0</v>
      </c>
      <c r="B76" s="15">
        <v>2.0</v>
      </c>
      <c r="C76" s="14" t="s">
        <v>6</v>
      </c>
      <c r="D76" s="14" t="s">
        <v>47</v>
      </c>
      <c r="E76" s="15">
        <v>42.855</v>
      </c>
      <c r="F76" s="15">
        <v>10.63</v>
      </c>
      <c r="G76" s="15">
        <v>18.47</v>
      </c>
      <c r="H76" s="15">
        <v>18.185</v>
      </c>
      <c r="I76" s="15">
        <v>3.8</v>
      </c>
      <c r="J76" s="15">
        <v>0.015</v>
      </c>
      <c r="K76" s="15">
        <v>0.1</v>
      </c>
      <c r="L76" s="15">
        <v>2.215</v>
      </c>
      <c r="M76" s="15">
        <v>3.73</v>
      </c>
      <c r="N76" s="4">
        <v>29400.33</v>
      </c>
      <c r="O76" s="1">
        <f t="shared" si="2"/>
        <v>12599.51142</v>
      </c>
      <c r="P76" s="1">
        <f t="shared" si="3"/>
        <v>3125.255079</v>
      </c>
      <c r="Q76" s="1">
        <f t="shared" si="4"/>
        <v>5430.240951</v>
      </c>
      <c r="R76" s="1">
        <f t="shared" si="5"/>
        <v>5346.450011</v>
      </c>
      <c r="S76" s="1">
        <f t="shared" si="6"/>
        <v>1117.21254</v>
      </c>
      <c r="T76" s="1">
        <f t="shared" si="7"/>
        <v>4.4100495</v>
      </c>
      <c r="U76" s="1">
        <f t="shared" si="8"/>
        <v>29.40033</v>
      </c>
      <c r="V76" s="1">
        <f t="shared" si="9"/>
        <v>651.2173095</v>
      </c>
      <c r="W76" s="1">
        <f t="shared" si="10"/>
        <v>1096.632309</v>
      </c>
    </row>
    <row r="77">
      <c r="A77" s="15">
        <v>2025.0</v>
      </c>
      <c r="B77" s="15">
        <v>2.0</v>
      </c>
      <c r="C77" s="14" t="s">
        <v>6</v>
      </c>
      <c r="D77" s="14" t="s">
        <v>48</v>
      </c>
      <c r="E77" s="15">
        <v>49.55</v>
      </c>
      <c r="F77" s="15">
        <v>14.97</v>
      </c>
      <c r="G77" s="15">
        <v>7.17</v>
      </c>
      <c r="H77" s="15">
        <v>10.29</v>
      </c>
      <c r="I77" s="15">
        <v>0.2</v>
      </c>
      <c r="J77" s="15">
        <v>2.38</v>
      </c>
      <c r="K77" s="15">
        <v>0.18</v>
      </c>
      <c r="L77" s="15">
        <v>0.51</v>
      </c>
      <c r="M77" s="15">
        <v>14.75</v>
      </c>
      <c r="N77" s="4">
        <v>152974.7</v>
      </c>
      <c r="O77" s="1">
        <f t="shared" si="2"/>
        <v>75798.96385</v>
      </c>
      <c r="P77" s="1">
        <f t="shared" si="3"/>
        <v>22900.31259</v>
      </c>
      <c r="Q77" s="1">
        <f t="shared" si="4"/>
        <v>10968.28599</v>
      </c>
      <c r="R77" s="1">
        <f t="shared" si="5"/>
        <v>15741.09663</v>
      </c>
      <c r="S77" s="1">
        <f t="shared" si="6"/>
        <v>305.9494</v>
      </c>
      <c r="T77" s="1">
        <f t="shared" si="7"/>
        <v>3640.79786</v>
      </c>
      <c r="U77" s="1">
        <f t="shared" si="8"/>
        <v>275.35446</v>
      </c>
      <c r="V77" s="1">
        <f t="shared" si="9"/>
        <v>780.17097</v>
      </c>
      <c r="W77" s="1">
        <f t="shared" si="10"/>
        <v>22563.76825</v>
      </c>
    </row>
    <row r="78">
      <c r="A78" s="15">
        <v>2025.0</v>
      </c>
      <c r="B78" s="15">
        <v>2.0</v>
      </c>
      <c r="C78" s="14" t="s">
        <v>6</v>
      </c>
      <c r="D78" s="14" t="s">
        <v>49</v>
      </c>
      <c r="E78" s="15">
        <v>15.0</v>
      </c>
      <c r="F78" s="15">
        <v>12.0</v>
      </c>
      <c r="G78" s="15">
        <v>24.6</v>
      </c>
      <c r="H78" s="15">
        <v>9.225</v>
      </c>
      <c r="I78" s="15">
        <v>12.3</v>
      </c>
      <c r="J78" s="15">
        <v>6.16</v>
      </c>
      <c r="K78" s="15">
        <v>2.0</v>
      </c>
      <c r="L78" s="15">
        <v>10.215</v>
      </c>
      <c r="M78" s="15">
        <v>8.5</v>
      </c>
      <c r="N78" s="4">
        <v>42496.23</v>
      </c>
      <c r="O78" s="1">
        <f t="shared" si="2"/>
        <v>6374.4345</v>
      </c>
      <c r="P78" s="1">
        <f t="shared" si="3"/>
        <v>5099.5476</v>
      </c>
      <c r="Q78" s="1">
        <f t="shared" si="4"/>
        <v>10454.07258</v>
      </c>
      <c r="R78" s="1">
        <f t="shared" si="5"/>
        <v>3920.277218</v>
      </c>
      <c r="S78" s="1">
        <f t="shared" si="6"/>
        <v>5227.03629</v>
      </c>
      <c r="T78" s="1">
        <f t="shared" si="7"/>
        <v>2617.767768</v>
      </c>
      <c r="U78" s="1">
        <f t="shared" si="8"/>
        <v>849.9246</v>
      </c>
      <c r="V78" s="1">
        <f t="shared" si="9"/>
        <v>4340.989895</v>
      </c>
      <c r="W78" s="1">
        <f t="shared" si="10"/>
        <v>3612.17955</v>
      </c>
    </row>
    <row r="79">
      <c r="A79" s="15">
        <v>2025.0</v>
      </c>
      <c r="B79" s="15">
        <v>2.0</v>
      </c>
      <c r="C79" s="14" t="s">
        <v>6</v>
      </c>
      <c r="D79" s="14" t="s">
        <v>50</v>
      </c>
      <c r="E79" s="15">
        <v>61.0</v>
      </c>
      <c r="F79" s="15">
        <v>2.0</v>
      </c>
      <c r="G79" s="15">
        <v>10.0</v>
      </c>
      <c r="H79" s="15">
        <v>18.0</v>
      </c>
      <c r="I79" s="15">
        <v>1.2</v>
      </c>
      <c r="J79" s="15">
        <v>4.0</v>
      </c>
      <c r="K79" s="15">
        <v>1.0</v>
      </c>
      <c r="L79" s="15">
        <v>1.5</v>
      </c>
      <c r="M79" s="15">
        <v>1.3</v>
      </c>
      <c r="N79" s="4">
        <v>431534.6</v>
      </c>
      <c r="O79" s="1">
        <f t="shared" si="2"/>
        <v>263236.106</v>
      </c>
      <c r="P79" s="1">
        <f t="shared" si="3"/>
        <v>8630.692</v>
      </c>
      <c r="Q79" s="1">
        <f t="shared" si="4"/>
        <v>43153.46</v>
      </c>
      <c r="R79" s="1">
        <f t="shared" si="5"/>
        <v>77676.228</v>
      </c>
      <c r="S79" s="1">
        <f t="shared" si="6"/>
        <v>5178.4152</v>
      </c>
      <c r="T79" s="1">
        <f t="shared" si="7"/>
        <v>17261.384</v>
      </c>
      <c r="U79" s="1">
        <f t="shared" si="8"/>
        <v>4315.346</v>
      </c>
      <c r="V79" s="1">
        <f t="shared" si="9"/>
        <v>6473.019</v>
      </c>
      <c r="W79" s="1">
        <f t="shared" si="10"/>
        <v>5609.9498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 t="s">
        <v>51</v>
      </c>
      <c r="B1" s="16" t="s">
        <v>93</v>
      </c>
      <c r="C1" s="17" t="s">
        <v>94</v>
      </c>
      <c r="D1" s="17" t="s">
        <v>95</v>
      </c>
      <c r="E1" s="18" t="s">
        <v>96</v>
      </c>
      <c r="F1" s="17" t="s">
        <v>4</v>
      </c>
      <c r="G1" s="17" t="s">
        <v>5</v>
      </c>
      <c r="H1" s="17" t="s">
        <v>18</v>
      </c>
      <c r="I1" s="17" t="s">
        <v>20</v>
      </c>
      <c r="J1" s="17" t="s">
        <v>23</v>
      </c>
      <c r="K1" s="17" t="s">
        <v>25</v>
      </c>
      <c r="L1" s="19" t="s">
        <v>97</v>
      </c>
      <c r="S1" s="19" t="s">
        <v>98</v>
      </c>
    </row>
    <row r="2">
      <c r="L2" s="2" t="s">
        <v>9</v>
      </c>
      <c r="M2" s="2" t="s">
        <v>12</v>
      </c>
      <c r="N2" s="2" t="s">
        <v>14</v>
      </c>
      <c r="O2" s="2" t="s">
        <v>17</v>
      </c>
      <c r="P2" s="2" t="s">
        <v>19</v>
      </c>
      <c r="Q2" s="2" t="s">
        <v>21</v>
      </c>
      <c r="R2" s="2" t="s">
        <v>24</v>
      </c>
      <c r="S2" s="20" t="s">
        <v>99</v>
      </c>
      <c r="T2" s="20" t="s">
        <v>100</v>
      </c>
      <c r="U2" s="20" t="s">
        <v>86</v>
      </c>
      <c r="V2" s="20" t="s">
        <v>87</v>
      </c>
      <c r="W2" s="20" t="s">
        <v>88</v>
      </c>
      <c r="X2" s="20" t="s">
        <v>89</v>
      </c>
      <c r="Y2" s="20" t="s">
        <v>90</v>
      </c>
      <c r="Z2" s="20" t="s">
        <v>91</v>
      </c>
      <c r="AA2" s="20" t="s">
        <v>92</v>
      </c>
    </row>
    <row r="3">
      <c r="A3" s="1">
        <v>2023.0</v>
      </c>
      <c r="B3" s="1" t="s">
        <v>7</v>
      </c>
      <c r="C3" s="10">
        <v>2007800.0</v>
      </c>
      <c r="D3" s="10">
        <v>1.04</v>
      </c>
      <c r="E3" s="4">
        <v>101816.53</v>
      </c>
      <c r="F3" s="4">
        <v>954.5386</v>
      </c>
      <c r="G3" s="4">
        <v>348406.6</v>
      </c>
      <c r="H3" s="4">
        <v>197942.4</v>
      </c>
      <c r="I3" s="4">
        <v>56.81</v>
      </c>
      <c r="J3" s="4">
        <v>0.0</v>
      </c>
      <c r="K3" s="4">
        <v>140920.1</v>
      </c>
      <c r="L3" s="21">
        <v>388.18659684210525</v>
      </c>
      <c r="M3" s="21">
        <v>161.31078421052632</v>
      </c>
      <c r="N3" s="21">
        <v>32.26215684210526</v>
      </c>
      <c r="O3" s="21">
        <v>215.42795052631578</v>
      </c>
      <c r="P3" s="21">
        <v>8.325717894736842</v>
      </c>
      <c r="Q3" s="21">
        <v>118.64147999999999</v>
      </c>
      <c r="R3" s="21">
        <v>64.52431368421053</v>
      </c>
      <c r="S3" s="21">
        <v>208112.51793</v>
      </c>
      <c r="T3" s="21">
        <v>6170.841090000001</v>
      </c>
      <c r="U3" s="21">
        <v>35040.27309</v>
      </c>
      <c r="V3" s="21">
        <v>59254.509180000015</v>
      </c>
      <c r="W3" s="21">
        <v>4799.543070000001</v>
      </c>
      <c r="X3" s="21">
        <v>4510.84875</v>
      </c>
      <c r="Y3" s="21">
        <v>3861.2865300000003</v>
      </c>
      <c r="Z3" s="21">
        <v>4222.1544300000005</v>
      </c>
      <c r="AA3" s="21">
        <v>34895.925930000005</v>
      </c>
    </row>
    <row r="4">
      <c r="A4" s="1">
        <v>2023.0</v>
      </c>
      <c r="B4" s="1" t="s">
        <v>10</v>
      </c>
      <c r="C4" s="10">
        <v>1397600.0</v>
      </c>
      <c r="D4" s="10">
        <v>1.28</v>
      </c>
      <c r="E4" s="4">
        <v>22630.06</v>
      </c>
      <c r="F4" s="4">
        <v>483.1886</v>
      </c>
      <c r="G4" s="4">
        <v>176363.8</v>
      </c>
      <c r="H4" s="4">
        <v>122727.1</v>
      </c>
      <c r="I4" s="4">
        <v>69.59</v>
      </c>
      <c r="J4" s="4">
        <v>31828.0</v>
      </c>
      <c r="K4" s="4">
        <v>70383.35</v>
      </c>
      <c r="L4" s="21">
        <v>454.81856796116506</v>
      </c>
      <c r="M4" s="21">
        <v>62.9748786407767</v>
      </c>
      <c r="N4" s="21">
        <v>27.988834951456308</v>
      </c>
      <c r="O4" s="21">
        <v>41.98325242718447</v>
      </c>
      <c r="P4" s="21">
        <v>69.97208737864078</v>
      </c>
      <c r="Q4" s="21">
        <v>34.98604368932039</v>
      </c>
      <c r="R4" s="21">
        <v>27.988834951456308</v>
      </c>
      <c r="S4" s="21">
        <v>92334.09509999999</v>
      </c>
      <c r="T4" s="21">
        <v>34250.425019999995</v>
      </c>
      <c r="U4" s="21">
        <v>28331.57277</v>
      </c>
      <c r="V4" s="21">
        <v>33066.65457</v>
      </c>
      <c r="W4" s="21">
        <v>947.0163599999998</v>
      </c>
      <c r="X4" s="21">
        <v>1210.07646</v>
      </c>
      <c r="Y4" s="21">
        <v>762.8742899999999</v>
      </c>
      <c r="Z4" s="21">
        <v>1078.54641</v>
      </c>
      <c r="AA4" s="21">
        <v>71078.83901999998</v>
      </c>
    </row>
    <row r="5">
      <c r="A5" s="1">
        <v>2023.0</v>
      </c>
      <c r="B5" s="1" t="s">
        <v>15</v>
      </c>
      <c r="C5" s="10">
        <v>788300.0</v>
      </c>
      <c r="D5" s="10">
        <v>0.9</v>
      </c>
      <c r="E5" s="4">
        <v>15025.64</v>
      </c>
      <c r="F5" s="4">
        <v>321.734</v>
      </c>
      <c r="G5" s="4">
        <v>117432.9</v>
      </c>
      <c r="H5" s="4">
        <v>56698.79</v>
      </c>
      <c r="I5" s="4">
        <v>48.28</v>
      </c>
      <c r="J5" s="4">
        <v>0.0</v>
      </c>
      <c r="K5" s="4">
        <v>27104.59</v>
      </c>
      <c r="L5" s="21">
        <v>106.68794895385072</v>
      </c>
      <c r="M5" s="21">
        <v>0.048057634663896724</v>
      </c>
      <c r="N5" s="21">
        <v>8.554258970173617</v>
      </c>
      <c r="O5" s="21">
        <v>132.639071672355</v>
      </c>
      <c r="P5" s="21">
        <v>3.8446107731117385</v>
      </c>
      <c r="Q5" s="21">
        <v>54.78570351684226</v>
      </c>
      <c r="R5" s="21">
        <v>17.30074847900282</v>
      </c>
      <c r="S5" s="21">
        <v>17967.767999999996</v>
      </c>
      <c r="T5" s="21">
        <v>62177.934</v>
      </c>
      <c r="U5" s="21">
        <v>2718.8069999999993</v>
      </c>
      <c r="V5" s="21">
        <v>17022.096</v>
      </c>
      <c r="W5" s="21">
        <v>1418.5079999999998</v>
      </c>
      <c r="X5" s="21">
        <v>1654.9259999999997</v>
      </c>
      <c r="Y5" s="21">
        <v>118.20900000000002</v>
      </c>
      <c r="Z5" s="21">
        <v>1654.9259999999997</v>
      </c>
      <c r="AA5" s="21">
        <v>13475.826000000001</v>
      </c>
    </row>
    <row r="6">
      <c r="A6" s="1">
        <v>2023.0</v>
      </c>
      <c r="B6" s="1" t="s">
        <v>22</v>
      </c>
      <c r="C6" s="10">
        <v>909700.0</v>
      </c>
      <c r="D6" s="10">
        <v>1.27</v>
      </c>
      <c r="E6" s="4">
        <v>15405.03</v>
      </c>
      <c r="F6" s="4">
        <v>363.8656</v>
      </c>
      <c r="G6" s="4">
        <v>132810.9</v>
      </c>
      <c r="H6" s="4">
        <v>60602.73</v>
      </c>
      <c r="I6" s="4">
        <v>45.63</v>
      </c>
      <c r="J6" s="4">
        <v>5301.625</v>
      </c>
      <c r="K6" s="4">
        <v>7360.304</v>
      </c>
      <c r="L6" s="21">
        <v>304.22089455353176</v>
      </c>
      <c r="M6" s="21">
        <v>2.4944853842736556</v>
      </c>
      <c r="N6" s="21">
        <v>8.178640604175921</v>
      </c>
      <c r="O6" s="21">
        <v>19.775952980897376</v>
      </c>
      <c r="P6" s="21">
        <v>4.907184362505553</v>
      </c>
      <c r="Q6" s="21">
        <v>24.535921812527764</v>
      </c>
      <c r="R6" s="21">
        <v>4.089320302087961</v>
      </c>
      <c r="S6" s="21">
        <v>92637.71527</v>
      </c>
      <c r="T6" s="21">
        <v>2015.9084999999998</v>
      </c>
      <c r="U6" s="21">
        <v>16893.31323</v>
      </c>
      <c r="V6" s="21">
        <v>13587.22329</v>
      </c>
      <c r="W6" s="21">
        <v>4703.786499999999</v>
      </c>
      <c r="X6" s="21">
        <v>806.3634</v>
      </c>
      <c r="Y6" s="21">
        <v>416.62109</v>
      </c>
      <c r="Z6" s="21">
        <v>1532.0904599999997</v>
      </c>
      <c r="AA6" s="21">
        <v>1800.87826</v>
      </c>
    </row>
    <row r="7">
      <c r="A7" s="1">
        <v>2023.0</v>
      </c>
      <c r="B7" s="1" t="s">
        <v>26</v>
      </c>
      <c r="C7" s="10">
        <v>1330700.0</v>
      </c>
      <c r="D7" s="10">
        <v>0.87</v>
      </c>
      <c r="E7" s="4">
        <v>26207.91</v>
      </c>
      <c r="F7" s="4">
        <v>662.378</v>
      </c>
      <c r="G7" s="4">
        <v>241768.0</v>
      </c>
      <c r="H7" s="4">
        <v>75348.75</v>
      </c>
      <c r="I7" s="4">
        <v>31.17</v>
      </c>
      <c r="J7" s="4">
        <v>0.0</v>
      </c>
      <c r="K7" s="4">
        <v>41758.67</v>
      </c>
      <c r="L7" s="21">
        <v>530.3926773000001</v>
      </c>
      <c r="M7" s="21">
        <v>13.523903099999998</v>
      </c>
      <c r="N7" s="21">
        <v>38.9569149</v>
      </c>
      <c r="O7" s="21">
        <v>51.74070390000001</v>
      </c>
      <c r="P7" s="21">
        <v>13.2547707</v>
      </c>
      <c r="Q7" s="21">
        <v>6.459177599999999</v>
      </c>
      <c r="R7" s="21">
        <v>18.5028525</v>
      </c>
      <c r="S7" s="21">
        <v>111519.37653</v>
      </c>
      <c r="T7" s="21">
        <v>16478.63943</v>
      </c>
      <c r="U7" s="21">
        <v>10879.340189999999</v>
      </c>
      <c r="V7" s="21">
        <v>61076.56671</v>
      </c>
      <c r="W7" s="21">
        <v>1498.05813</v>
      </c>
      <c r="X7" s="21">
        <v>5280.04095</v>
      </c>
      <c r="Y7" s="21">
        <v>1669.96644</v>
      </c>
      <c r="Z7" s="21">
        <v>3241.69956</v>
      </c>
      <c r="AA7" s="21">
        <v>33939.61206</v>
      </c>
    </row>
    <row r="8">
      <c r="A8" s="1">
        <v>2023.0</v>
      </c>
      <c r="B8" s="1" t="s">
        <v>29</v>
      </c>
      <c r="C8" s="10">
        <v>1090100.0</v>
      </c>
      <c r="D8" s="10">
        <v>0.95</v>
      </c>
      <c r="E8" s="4">
        <v>26326.85</v>
      </c>
      <c r="F8" s="4">
        <v>296.9141</v>
      </c>
      <c r="G8" s="4">
        <v>108373.7</v>
      </c>
      <c r="H8" s="4">
        <v>63457.58</v>
      </c>
      <c r="I8" s="4">
        <v>58.55</v>
      </c>
      <c r="J8" s="4">
        <v>19535.28</v>
      </c>
      <c r="K8" s="4">
        <v>12304.16</v>
      </c>
      <c r="L8" s="21">
        <v>108.5819810049845</v>
      </c>
      <c r="M8" s="21">
        <v>27.14295567829718</v>
      </c>
      <c r="N8" s="21">
        <v>42.22801899501549</v>
      </c>
      <c r="O8" s="21">
        <v>72.38798733665634</v>
      </c>
      <c r="P8" s="21">
        <v>36.19399366832817</v>
      </c>
      <c r="Q8" s="21">
        <v>6.034025326687323</v>
      </c>
      <c r="R8" s="21">
        <v>9.051037990030984</v>
      </c>
      <c r="S8" s="21">
        <v>35427.38034</v>
      </c>
      <c r="T8" s="21">
        <v>13045.81905</v>
      </c>
      <c r="U8" s="21">
        <v>10315.55481</v>
      </c>
      <c r="V8" s="21">
        <v>41251.21011</v>
      </c>
      <c r="W8" s="21">
        <v>5933.921069999999</v>
      </c>
      <c r="X8" s="21">
        <v>737.61171</v>
      </c>
      <c r="Y8" s="21">
        <v>770.6391</v>
      </c>
      <c r="Z8" s="21">
        <v>770.6391</v>
      </c>
      <c r="AA8" s="21">
        <v>1838.52471</v>
      </c>
    </row>
    <row r="9">
      <c r="A9" s="1">
        <v>2023.0</v>
      </c>
      <c r="B9" s="1" t="s">
        <v>31</v>
      </c>
      <c r="C9" s="10">
        <v>1284400.0</v>
      </c>
      <c r="D9" s="10">
        <v>0.71</v>
      </c>
      <c r="E9" s="4">
        <v>31930.3</v>
      </c>
      <c r="F9" s="4">
        <v>649.454</v>
      </c>
      <c r="G9" s="4">
        <v>237050.7</v>
      </c>
      <c r="H9" s="4">
        <v>117732.5</v>
      </c>
      <c r="I9" s="4">
        <v>49.67</v>
      </c>
      <c r="J9" s="4">
        <v>14634.19</v>
      </c>
      <c r="K9" s="4">
        <v>41671.19</v>
      </c>
      <c r="L9" s="21">
        <v>590.4042775592563</v>
      </c>
      <c r="M9" s="21">
        <v>18.42396327135268</v>
      </c>
      <c r="N9" s="21">
        <v>3.684792654270536</v>
      </c>
      <c r="O9" s="21">
        <v>5.694679556599919</v>
      </c>
      <c r="P9" s="21">
        <v>16.749057519411526</v>
      </c>
      <c r="Q9" s="21">
        <v>10.082932626685738</v>
      </c>
      <c r="R9" s="21">
        <v>10.719396812423378</v>
      </c>
      <c r="S9" s="21">
        <v>143611.26</v>
      </c>
      <c r="T9" s="21">
        <v>11967.605</v>
      </c>
      <c r="U9" s="21">
        <v>11967.605</v>
      </c>
      <c r="V9" s="21">
        <v>47870.42</v>
      </c>
      <c r="W9" s="21">
        <v>1196.7605</v>
      </c>
      <c r="X9" s="21">
        <v>11967.605</v>
      </c>
      <c r="Y9" s="21">
        <v>7180.563</v>
      </c>
      <c r="Z9" s="21">
        <v>1196.7605</v>
      </c>
      <c r="AA9" s="21">
        <v>2393.521</v>
      </c>
    </row>
    <row r="10">
      <c r="A10" s="1">
        <v>2023.0</v>
      </c>
      <c r="B10" s="1" t="s">
        <v>32</v>
      </c>
      <c r="C10" s="10">
        <v>932700.0</v>
      </c>
      <c r="D10" s="10">
        <v>1.02</v>
      </c>
      <c r="E10" s="7">
        <v>30657.93</v>
      </c>
      <c r="F10" s="4">
        <v>364.698</v>
      </c>
      <c r="G10" s="4">
        <v>133114.8</v>
      </c>
      <c r="H10" s="4">
        <v>100469.0</v>
      </c>
      <c r="I10" s="4">
        <v>75.48</v>
      </c>
      <c r="J10" s="4">
        <v>258.4204</v>
      </c>
      <c r="K10" s="4">
        <v>19249.21</v>
      </c>
      <c r="L10" s="21">
        <v>238.89451298220604</v>
      </c>
      <c r="M10" s="21">
        <v>38.39358111479724</v>
      </c>
      <c r="N10" s="21">
        <v>15.020947111561977</v>
      </c>
      <c r="O10" s="21">
        <v>13.973208345899707</v>
      </c>
      <c r="P10" s="21">
        <v>31.4523117922847</v>
      </c>
      <c r="Q10" s="21">
        <v>12.582939599155539</v>
      </c>
      <c r="R10" s="21">
        <v>17.126499054094808</v>
      </c>
      <c r="S10" s="21">
        <v>70478.53605</v>
      </c>
      <c r="T10" s="21">
        <v>563.29182</v>
      </c>
      <c r="U10" s="21">
        <v>17877.80943</v>
      </c>
      <c r="V10" s="21">
        <v>31906.45809</v>
      </c>
      <c r="W10" s="21">
        <v>1193.64219</v>
      </c>
      <c r="X10" s="21">
        <v>1595.9934899999998</v>
      </c>
      <c r="Y10" s="21">
        <v>442.58643000000006</v>
      </c>
      <c r="Z10" s="21">
        <v>1381.40613</v>
      </c>
      <c r="AA10" s="21">
        <v>8677.37637</v>
      </c>
    </row>
    <row r="11">
      <c r="A11" s="1">
        <v>2023.0</v>
      </c>
      <c r="B11" s="1" t="s">
        <v>33</v>
      </c>
      <c r="C11" s="10">
        <v>1051100.0</v>
      </c>
      <c r="D11" s="10">
        <v>0.31</v>
      </c>
      <c r="E11" s="7">
        <v>23568.41</v>
      </c>
      <c r="F11" s="4">
        <v>350.6822</v>
      </c>
      <c r="G11" s="4">
        <v>127999.0</v>
      </c>
      <c r="H11" s="4">
        <v>49784.95</v>
      </c>
      <c r="I11" s="4">
        <v>38.89</v>
      </c>
      <c r="J11" s="4">
        <v>46971.12</v>
      </c>
      <c r="K11" s="4">
        <v>2813.506</v>
      </c>
      <c r="L11" s="21">
        <v>157.303935</v>
      </c>
      <c r="M11" s="21">
        <v>52.434644999999996</v>
      </c>
      <c r="N11" s="21">
        <v>13.9865853673938</v>
      </c>
      <c r="O11" s="21">
        <v>87.391075</v>
      </c>
      <c r="P11" s="21">
        <v>20.9698446326062</v>
      </c>
      <c r="Q11" s="21">
        <v>6.9932926836969</v>
      </c>
      <c r="R11" s="21">
        <v>10.4849223163031</v>
      </c>
      <c r="S11" s="21">
        <v>31897.75</v>
      </c>
      <c r="T11" s="21">
        <v>12759.1</v>
      </c>
      <c r="U11" s="21">
        <v>25518.2</v>
      </c>
      <c r="V11" s="21">
        <v>31897.75</v>
      </c>
      <c r="W11" s="21">
        <v>6379.55</v>
      </c>
      <c r="X11" s="21">
        <v>6379.55</v>
      </c>
      <c r="Y11" s="21">
        <v>3189.775</v>
      </c>
      <c r="Z11" s="21">
        <v>6379.55</v>
      </c>
      <c r="AA11" s="21">
        <v>3189.775</v>
      </c>
    </row>
    <row r="12">
      <c r="A12" s="1">
        <v>2023.0</v>
      </c>
      <c r="B12" s="1" t="s">
        <v>34</v>
      </c>
      <c r="C12" s="10">
        <v>955100.0</v>
      </c>
      <c r="D12" s="10">
        <v>0.77</v>
      </c>
      <c r="E12" s="7">
        <v>30198.24</v>
      </c>
      <c r="F12" s="4">
        <v>380.3132</v>
      </c>
      <c r="G12" s="4">
        <v>138814.3</v>
      </c>
      <c r="H12" s="4">
        <v>485.0482</v>
      </c>
      <c r="I12" s="4">
        <v>0.35</v>
      </c>
      <c r="J12" s="4">
        <v>0.0</v>
      </c>
      <c r="K12" s="4">
        <v>82.9282</v>
      </c>
      <c r="L12" s="21">
        <v>35.55164469631637</v>
      </c>
      <c r="M12" s="21">
        <v>65.17801527658001</v>
      </c>
      <c r="N12" s="21">
        <v>72.70311340396698</v>
      </c>
      <c r="O12" s="21">
        <v>143.27312812615497</v>
      </c>
      <c r="P12" s="21">
        <v>59.252741160527286</v>
      </c>
      <c r="Q12" s="21">
        <v>38.48465538376247</v>
      </c>
      <c r="R12" s="21">
        <v>66.51120195269188</v>
      </c>
      <c r="S12" s="21">
        <v>110595.492</v>
      </c>
      <c r="T12" s="21">
        <v>3510.968</v>
      </c>
      <c r="U12" s="21">
        <v>8777.42</v>
      </c>
      <c r="V12" s="21">
        <v>31598.711999999996</v>
      </c>
      <c r="W12" s="21">
        <v>5266.451999999999</v>
      </c>
      <c r="X12" s="21">
        <v>3510.968</v>
      </c>
      <c r="Y12" s="21">
        <v>3510.968</v>
      </c>
      <c r="Z12" s="21">
        <v>5266.451999999999</v>
      </c>
      <c r="AA12" s="21">
        <v>3510.968</v>
      </c>
    </row>
    <row r="13">
      <c r="A13" s="1">
        <v>2023.0</v>
      </c>
      <c r="B13" s="1" t="s">
        <v>35</v>
      </c>
      <c r="C13" s="10">
        <v>997500.0</v>
      </c>
      <c r="D13" s="10">
        <v>0.78</v>
      </c>
      <c r="E13" s="7">
        <v>30438.34</v>
      </c>
      <c r="F13" s="4">
        <v>595.3458</v>
      </c>
      <c r="G13" s="4">
        <v>217301.2</v>
      </c>
      <c r="H13" s="4">
        <v>126149.3</v>
      </c>
      <c r="I13" s="4">
        <v>58.05</v>
      </c>
      <c r="J13" s="4">
        <v>133.225</v>
      </c>
      <c r="K13" s="4">
        <v>54939.63</v>
      </c>
      <c r="L13" s="21">
        <v>126.79779577055517</v>
      </c>
      <c r="M13" s="21">
        <v>27.077176605358197</v>
      </c>
      <c r="N13" s="21">
        <v>33.76356762912573</v>
      </c>
      <c r="O13" s="21">
        <v>100.16051331149745</v>
      </c>
      <c r="P13" s="21">
        <v>69.300247047955</v>
      </c>
      <c r="Q13" s="21">
        <v>2.5378508440413206</v>
      </c>
      <c r="R13" s="21">
        <v>43.27204879146721</v>
      </c>
      <c r="S13" s="21">
        <v>109266.91739999998</v>
      </c>
      <c r="T13" s="21">
        <v>1176.4944</v>
      </c>
      <c r="U13" s="21">
        <v>13088.5002</v>
      </c>
      <c r="V13" s="21">
        <v>16470.921599999998</v>
      </c>
      <c r="W13" s="21">
        <v>735.309</v>
      </c>
      <c r="X13" s="21">
        <v>2647.1124</v>
      </c>
      <c r="Y13" s="21">
        <v>441.18539999999996</v>
      </c>
      <c r="Z13" s="21">
        <v>2647.1124</v>
      </c>
      <c r="AA13" s="21">
        <v>588.2472</v>
      </c>
    </row>
    <row r="14">
      <c r="A14" s="1">
        <v>2023.0</v>
      </c>
      <c r="B14" s="1" t="s">
        <v>36</v>
      </c>
      <c r="C14" s="10">
        <v>1359400.0</v>
      </c>
      <c r="D14" s="10">
        <v>0.91</v>
      </c>
      <c r="E14" s="7">
        <v>34980.11</v>
      </c>
      <c r="F14" s="4">
        <v>687.925</v>
      </c>
      <c r="G14" s="4">
        <v>251092.6</v>
      </c>
      <c r="H14" s="4">
        <v>104012.1</v>
      </c>
      <c r="I14" s="4">
        <v>41.42</v>
      </c>
      <c r="J14" s="4">
        <v>0.0</v>
      </c>
      <c r="K14" s="4">
        <v>35684.1</v>
      </c>
      <c r="L14" s="21">
        <v>520.1715779573842</v>
      </c>
      <c r="M14" s="21">
        <v>20.916522556943423</v>
      </c>
      <c r="N14" s="21">
        <v>25.384129316678916</v>
      </c>
      <c r="O14" s="21">
        <v>27.922542248346804</v>
      </c>
      <c r="P14" s="21">
        <v>18.784255694342395</v>
      </c>
      <c r="Q14" s="21">
        <v>18.276573108008815</v>
      </c>
      <c r="R14" s="21">
        <v>59.50039911829537</v>
      </c>
      <c r="S14" s="21">
        <v>75659.67</v>
      </c>
      <c r="T14" s="21">
        <v>12609.945</v>
      </c>
      <c r="U14" s="21">
        <v>50439.78</v>
      </c>
      <c r="V14" s="21">
        <v>63049.725</v>
      </c>
      <c r="W14" s="21">
        <v>12609.945</v>
      </c>
      <c r="X14" s="21">
        <v>12609.945</v>
      </c>
      <c r="Y14" s="21">
        <v>5043.978</v>
      </c>
      <c r="Z14" s="21">
        <v>12609.945</v>
      </c>
      <c r="AA14" s="21">
        <v>7565.967</v>
      </c>
    </row>
    <row r="15">
      <c r="A15" s="1">
        <v>2023.0</v>
      </c>
      <c r="B15" s="1" t="s">
        <v>37</v>
      </c>
      <c r="C15" s="10">
        <v>874600.0</v>
      </c>
      <c r="D15" s="10">
        <v>1.08</v>
      </c>
      <c r="E15" s="7">
        <v>72979.97</v>
      </c>
      <c r="F15" s="4">
        <v>435.7845</v>
      </c>
      <c r="G15" s="4">
        <v>159061.3</v>
      </c>
      <c r="H15" s="4">
        <v>98816.44</v>
      </c>
      <c r="I15" s="4">
        <v>62.12</v>
      </c>
      <c r="J15" s="4">
        <v>0.0</v>
      </c>
      <c r="K15" s="4">
        <v>56605.7</v>
      </c>
      <c r="L15" s="21">
        <v>240.05942602749153</v>
      </c>
      <c r="M15" s="21">
        <v>15.099729811597857</v>
      </c>
      <c r="N15" s="21">
        <v>26.419473713197323</v>
      </c>
      <c r="O15" s="21">
        <v>91.52821497578996</v>
      </c>
      <c r="P15" s="21">
        <v>31.179830300387813</v>
      </c>
      <c r="Q15" s="21">
        <v>21.16387833031186</v>
      </c>
      <c r="R15" s="21">
        <v>14.97844684122358</v>
      </c>
      <c r="S15" s="21">
        <v>47664.331900000005</v>
      </c>
      <c r="T15" s="21">
        <v>27151.789740000004</v>
      </c>
      <c r="U15" s="21">
        <v>30672.359279999997</v>
      </c>
      <c r="V15" s="21">
        <v>20930.50932</v>
      </c>
      <c r="W15" s="21">
        <v>8423.645840000001</v>
      </c>
      <c r="X15" s="21">
        <v>8729.08338</v>
      </c>
      <c r="Y15" s="21">
        <v>5819.38892</v>
      </c>
      <c r="Z15" s="21">
        <v>9275.65582</v>
      </c>
      <c r="AA15" s="21">
        <v>2089.8358000000003</v>
      </c>
    </row>
    <row r="16">
      <c r="A16" s="1">
        <v>2023.0</v>
      </c>
      <c r="B16" s="1" t="s">
        <v>38</v>
      </c>
      <c r="C16" s="10">
        <v>1221100.0</v>
      </c>
      <c r="D16" s="10">
        <v>1.04</v>
      </c>
      <c r="E16" s="7">
        <v>24447.15</v>
      </c>
      <c r="F16" s="4">
        <v>423.4836</v>
      </c>
      <c r="G16" s="4">
        <v>154571.5</v>
      </c>
      <c r="H16" s="4">
        <v>76576.35</v>
      </c>
      <c r="I16" s="4">
        <v>49.54</v>
      </c>
      <c r="J16" s="4">
        <v>0.0</v>
      </c>
      <c r="K16" s="4">
        <v>19775.42</v>
      </c>
      <c r="L16" s="21">
        <v>438.2850514870987</v>
      </c>
      <c r="M16" s="21">
        <v>0.27211406342328154</v>
      </c>
      <c r="N16" s="21">
        <v>11.78425498086229</v>
      </c>
      <c r="O16" s="21">
        <v>1.9317647025004125</v>
      </c>
      <c r="P16" s="21">
        <v>1.419405790289009</v>
      </c>
      <c r="Q16" s="21">
        <v>0.37997909757305076</v>
      </c>
      <c r="R16" s="21">
        <v>6.435129878253278</v>
      </c>
      <c r="S16" s="21">
        <v>89606.27343</v>
      </c>
      <c r="T16" s="21">
        <v>1613.6188799999998</v>
      </c>
      <c r="U16" s="21">
        <v>14774.697869999998</v>
      </c>
      <c r="V16" s="21">
        <v>39264.72607999999</v>
      </c>
      <c r="W16" s="21">
        <v>1159.78857</v>
      </c>
      <c r="X16" s="21">
        <v>4101.28132</v>
      </c>
      <c r="Y16" s="21">
        <v>1580.0018199999997</v>
      </c>
      <c r="Z16" s="21">
        <v>1949.7894799999997</v>
      </c>
      <c r="AA16" s="21">
        <v>14035.122549999998</v>
      </c>
    </row>
    <row r="17">
      <c r="A17" s="1">
        <v>2023.0</v>
      </c>
      <c r="B17" s="1" t="s">
        <v>39</v>
      </c>
      <c r="C17" s="10">
        <v>1240500.0</v>
      </c>
      <c r="D17" s="10">
        <v>1.09</v>
      </c>
      <c r="E17" s="7">
        <v>20840.01</v>
      </c>
      <c r="F17" s="4">
        <v>733.9302</v>
      </c>
      <c r="G17" s="4">
        <v>267884.5</v>
      </c>
      <c r="H17" s="4">
        <v>273.024</v>
      </c>
      <c r="I17" s="4">
        <v>0.1</v>
      </c>
      <c r="J17" s="4">
        <v>0.0</v>
      </c>
      <c r="K17" s="4">
        <v>273.024</v>
      </c>
      <c r="L17" s="21">
        <v>259.5037639391745</v>
      </c>
      <c r="M17" s="21">
        <v>38.93701665459812</v>
      </c>
      <c r="N17" s="21">
        <v>112.00118320057929</v>
      </c>
      <c r="O17" s="21">
        <v>126.88886603910211</v>
      </c>
      <c r="P17" s="21">
        <v>38.24989283128168</v>
      </c>
      <c r="Q17" s="21">
        <v>18.781384503982622</v>
      </c>
      <c r="R17" s="21">
        <v>38.24989283128168</v>
      </c>
      <c r="S17" s="21">
        <v>112080.51036</v>
      </c>
      <c r="T17" s="21">
        <v>10598.466059999999</v>
      </c>
      <c r="U17" s="21">
        <v>37660.34453999999</v>
      </c>
      <c r="V17" s="21">
        <v>52045.62636</v>
      </c>
      <c r="W17" s="21">
        <v>138.54204</v>
      </c>
      <c r="X17" s="21">
        <v>115.4517</v>
      </c>
      <c r="Y17" s="21">
        <v>8658.8775</v>
      </c>
      <c r="Z17" s="21">
        <v>6465.295199999999</v>
      </c>
      <c r="AA17" s="21">
        <v>3140.28624</v>
      </c>
    </row>
    <row r="18">
      <c r="A18" s="1">
        <v>2023.0</v>
      </c>
      <c r="B18" s="1" t="s">
        <v>40</v>
      </c>
      <c r="C18" s="10">
        <v>1080700.0</v>
      </c>
      <c r="D18" s="10">
        <v>0.91</v>
      </c>
      <c r="E18" s="7">
        <v>39651.41</v>
      </c>
      <c r="F18" s="4">
        <v>533.156</v>
      </c>
      <c r="G18" s="4">
        <v>194601.9</v>
      </c>
      <c r="H18" s="4">
        <v>26761.5</v>
      </c>
      <c r="I18" s="4">
        <v>13.75</v>
      </c>
      <c r="J18" s="4">
        <v>0.0</v>
      </c>
      <c r="K18" s="4">
        <v>26761.5</v>
      </c>
      <c r="L18" s="21">
        <v>381.05514999999997</v>
      </c>
      <c r="M18" s="21">
        <v>10.271028301886792</v>
      </c>
      <c r="N18" s="21">
        <v>10.271028301886792</v>
      </c>
      <c r="O18" s="21">
        <v>87.30374056603773</v>
      </c>
      <c r="P18" s="21">
        <v>10.271028301886792</v>
      </c>
      <c r="Q18" s="21">
        <v>20.542056603773585</v>
      </c>
      <c r="R18" s="21">
        <v>24.6504679245283</v>
      </c>
      <c r="S18" s="21">
        <v>122315.4108</v>
      </c>
      <c r="T18" s="21">
        <v>23008.6494</v>
      </c>
      <c r="U18" s="21">
        <v>8444.4525</v>
      </c>
      <c r="V18" s="21">
        <v>36817.8129</v>
      </c>
      <c r="W18" s="21">
        <v>536.4711</v>
      </c>
      <c r="X18" s="21">
        <v>357.6474</v>
      </c>
      <c r="Y18" s="21">
        <v>2126.0151</v>
      </c>
      <c r="Z18" s="21">
        <v>755.0333999999999</v>
      </c>
      <c r="AA18" s="21">
        <v>4331.5074</v>
      </c>
    </row>
    <row r="19">
      <c r="A19" s="1">
        <v>2023.0</v>
      </c>
      <c r="B19" s="1" t="s">
        <v>41</v>
      </c>
      <c r="C19" s="10">
        <v>808500.0</v>
      </c>
      <c r="D19" s="10">
        <v>0.86</v>
      </c>
      <c r="E19" s="7">
        <v>16998.53</v>
      </c>
      <c r="F19" s="4">
        <v>403.72</v>
      </c>
      <c r="G19" s="4">
        <v>147357.8</v>
      </c>
      <c r="H19" s="4">
        <v>43728.03</v>
      </c>
      <c r="I19" s="4">
        <v>29.67</v>
      </c>
      <c r="J19" s="4">
        <v>23017.29</v>
      </c>
      <c r="K19" s="4">
        <v>13283.62</v>
      </c>
      <c r="L19" s="21">
        <v>272.55797884699894</v>
      </c>
      <c r="M19" s="21">
        <v>12.670894698506526</v>
      </c>
      <c r="N19" s="21">
        <v>10.322965031934169</v>
      </c>
      <c r="O19" s="21">
        <v>11.997227114848634</v>
      </c>
      <c r="P19" s="21">
        <v>50.039631839059005</v>
      </c>
      <c r="Q19" s="21">
        <v>42.37170963683536</v>
      </c>
      <c r="R19" s="21">
        <v>11.479592831817389</v>
      </c>
      <c r="S19" s="21">
        <v>47050.015479999995</v>
      </c>
      <c r="T19" s="21">
        <v>26460.940720000002</v>
      </c>
      <c r="U19" s="21">
        <v>10031.730080000001</v>
      </c>
      <c r="V19" s="21">
        <v>27437.08212</v>
      </c>
      <c r="W19" s="21">
        <v>11128.01196</v>
      </c>
      <c r="X19" s="21">
        <v>2943.4417599999997</v>
      </c>
      <c r="Y19" s="21">
        <v>3033.54712</v>
      </c>
      <c r="Z19" s="21">
        <v>3093.61736</v>
      </c>
      <c r="AA19" s="21">
        <v>18997.2134</v>
      </c>
    </row>
    <row r="20">
      <c r="A20" s="1">
        <v>2023.0</v>
      </c>
      <c r="B20" s="1" t="s">
        <v>42</v>
      </c>
      <c r="C20" s="10">
        <v>1052800.0</v>
      </c>
      <c r="D20" s="10">
        <v>1.22</v>
      </c>
      <c r="E20" s="7">
        <v>35286.12</v>
      </c>
      <c r="F20" s="4">
        <v>421.36</v>
      </c>
      <c r="G20" s="4">
        <v>153796.4</v>
      </c>
      <c r="H20" s="4">
        <v>1696.171</v>
      </c>
      <c r="I20" s="4">
        <v>1.1</v>
      </c>
      <c r="J20" s="4">
        <v>0.0</v>
      </c>
      <c r="K20" s="4">
        <v>1696.171</v>
      </c>
      <c r="L20" s="21">
        <v>262.00134526295807</v>
      </c>
      <c r="M20" s="21">
        <v>20.01125692994114</v>
      </c>
      <c r="N20" s="21">
        <v>26.384598727928612</v>
      </c>
      <c r="O20" s="21">
        <v>65.49515473704197</v>
      </c>
      <c r="P20" s="21">
        <v>43.670345262958044</v>
      </c>
      <c r="Q20" s="21">
        <v>2.279894626922347</v>
      </c>
      <c r="R20" s="21">
        <v>16.81940445224986</v>
      </c>
      <c r="S20" s="21">
        <v>48786.707760000005</v>
      </c>
      <c r="T20" s="21">
        <v>24034.74528</v>
      </c>
      <c r="U20" s="21">
        <v>15125.31384</v>
      </c>
      <c r="V20" s="21">
        <v>36689.64432</v>
      </c>
      <c r="W20" s="21">
        <v>462.20664</v>
      </c>
      <c r="X20" s="21">
        <v>12750.528</v>
      </c>
      <c r="Y20" s="21">
        <v>1705.38312</v>
      </c>
      <c r="Z20" s="21">
        <v>1402.5580800000002</v>
      </c>
      <c r="AA20" s="21">
        <v>18424.51296</v>
      </c>
    </row>
    <row r="21">
      <c r="A21" s="1">
        <v>2023.0</v>
      </c>
      <c r="B21" s="1" t="s">
        <v>43</v>
      </c>
      <c r="C21" s="10">
        <v>1007400.0</v>
      </c>
      <c r="D21" s="10">
        <v>1.23</v>
      </c>
      <c r="E21" s="7">
        <v>18358.47</v>
      </c>
      <c r="F21" s="4">
        <v>394.582</v>
      </c>
      <c r="G21" s="4">
        <v>144022.4</v>
      </c>
      <c r="H21" s="4">
        <v>7139.155</v>
      </c>
      <c r="I21" s="4">
        <v>4.96</v>
      </c>
      <c r="J21" s="4">
        <v>120.45</v>
      </c>
      <c r="K21" s="4">
        <v>5333.461</v>
      </c>
      <c r="L21" s="21">
        <v>212.5300769831213</v>
      </c>
      <c r="M21" s="21">
        <v>22.54012967712504</v>
      </c>
      <c r="N21" s="21">
        <v>58.16840981296568</v>
      </c>
      <c r="O21" s="21">
        <v>53.633525794515684</v>
      </c>
      <c r="P21" s="21">
        <v>21.682737026711944</v>
      </c>
      <c r="Q21" s="21">
        <v>10.268051741091792</v>
      </c>
      <c r="R21" s="21">
        <v>28.779468964468542</v>
      </c>
      <c r="S21" s="21">
        <v>10414.242999999999</v>
      </c>
      <c r="T21" s="21">
        <v>12199.541799999999</v>
      </c>
      <c r="U21" s="21">
        <v>9670.3685</v>
      </c>
      <c r="V21" s="21">
        <v>15175.039799999997</v>
      </c>
      <c r="W21" s="21">
        <v>1190.1992</v>
      </c>
      <c r="X21" s="21">
        <v>4463.246999999999</v>
      </c>
      <c r="Y21" s="21">
        <v>2975.498</v>
      </c>
      <c r="Z21" s="21">
        <v>297.5498</v>
      </c>
      <c r="AA21" s="21">
        <v>92389.21289999998</v>
      </c>
    </row>
    <row r="22">
      <c r="A22" s="1">
        <v>2023.0</v>
      </c>
      <c r="B22" s="1" t="s">
        <v>44</v>
      </c>
      <c r="C22" s="10">
        <v>1523600.0</v>
      </c>
      <c r="D22" s="10">
        <v>1.27</v>
      </c>
      <c r="E22" s="7">
        <v>20715.43</v>
      </c>
      <c r="F22" s="4">
        <v>600.3016</v>
      </c>
      <c r="G22" s="4">
        <v>219110.1</v>
      </c>
      <c r="H22" s="4">
        <v>185882.2</v>
      </c>
      <c r="I22" s="4">
        <v>84.84</v>
      </c>
      <c r="J22" s="4">
        <v>2440.39</v>
      </c>
      <c r="K22" s="4">
        <v>54326.73</v>
      </c>
      <c r="L22" s="21">
        <v>170.036208</v>
      </c>
      <c r="M22" s="21">
        <v>51.955507999999995</v>
      </c>
      <c r="N22" s="21">
        <v>37.785824</v>
      </c>
      <c r="O22" s="21">
        <v>113.35747199999999</v>
      </c>
      <c r="P22" s="21">
        <v>33.062596</v>
      </c>
      <c r="Q22" s="21">
        <v>9.446456</v>
      </c>
      <c r="R22" s="21">
        <v>56.678735999999994</v>
      </c>
      <c r="S22" s="21">
        <v>27583.647999999997</v>
      </c>
      <c r="T22" s="21">
        <v>36203.538</v>
      </c>
      <c r="U22" s="21">
        <v>31031.604</v>
      </c>
      <c r="V22" s="21">
        <v>24135.691999999995</v>
      </c>
      <c r="W22" s="21">
        <v>32755.582</v>
      </c>
      <c r="X22" s="21">
        <v>3447.9559999999997</v>
      </c>
      <c r="Y22" s="21">
        <v>13791.823999999999</v>
      </c>
      <c r="Z22" s="21">
        <v>1723.9779999999998</v>
      </c>
      <c r="AA22" s="21">
        <v>1723.9779999999998</v>
      </c>
    </row>
    <row r="23">
      <c r="A23" s="1">
        <v>2023.0</v>
      </c>
      <c r="B23" s="1" t="s">
        <v>45</v>
      </c>
      <c r="C23" s="10">
        <v>1654800.0</v>
      </c>
      <c r="D23" s="10">
        <v>1.3</v>
      </c>
      <c r="E23" s="7">
        <v>28015.7</v>
      </c>
      <c r="F23" s="4">
        <v>604.0923</v>
      </c>
      <c r="G23" s="4">
        <v>220493.7</v>
      </c>
      <c r="H23" s="4">
        <v>40571.4</v>
      </c>
      <c r="I23" s="4">
        <v>18.4</v>
      </c>
      <c r="J23" s="4">
        <v>5364.04</v>
      </c>
      <c r="K23" s="4">
        <v>33118.88</v>
      </c>
      <c r="L23" s="21">
        <v>504.2733596485386</v>
      </c>
      <c r="M23" s="21">
        <v>28.2225798475358</v>
      </c>
      <c r="N23" s="21">
        <v>30.05704753762563</v>
      </c>
      <c r="O23" s="21">
        <v>69.1453206264627</v>
      </c>
      <c r="P23" s="21">
        <v>25.656890770487095</v>
      </c>
      <c r="Q23" s="21">
        <v>15.445448243833228</v>
      </c>
      <c r="R23" s="21">
        <v>30.194953325517</v>
      </c>
      <c r="S23" s="21">
        <v>94939.55799999999</v>
      </c>
      <c r="T23" s="21">
        <v>30791.208</v>
      </c>
      <c r="U23" s="21">
        <v>38489.01</v>
      </c>
      <c r="V23" s="21">
        <v>61582.416</v>
      </c>
      <c r="W23" s="21">
        <v>7697.802</v>
      </c>
      <c r="X23" s="21">
        <v>5131.8679999999995</v>
      </c>
      <c r="Y23" s="21">
        <v>5131.8679999999995</v>
      </c>
      <c r="Z23" s="21">
        <v>2565.9339999999997</v>
      </c>
      <c r="AA23" s="21">
        <v>10263.735999999999</v>
      </c>
    </row>
    <row r="24">
      <c r="A24" s="1">
        <v>2023.0</v>
      </c>
      <c r="B24" s="1" t="s">
        <v>46</v>
      </c>
      <c r="C24" s="10">
        <v>2043100.0</v>
      </c>
      <c r="D24" s="10">
        <v>1.18</v>
      </c>
      <c r="E24" s="7">
        <v>36699.04</v>
      </c>
      <c r="F24" s="4">
        <v>1005.309</v>
      </c>
      <c r="G24" s="4">
        <v>366937.6</v>
      </c>
      <c r="H24" s="4">
        <v>6050.709</v>
      </c>
      <c r="I24" s="4">
        <v>1.65</v>
      </c>
      <c r="J24" s="4">
        <v>0.0</v>
      </c>
      <c r="K24" s="4">
        <v>6048.114</v>
      </c>
      <c r="L24" s="21">
        <v>258.18775</v>
      </c>
      <c r="M24" s="21">
        <v>30.982529999999997</v>
      </c>
      <c r="N24" s="21">
        <v>20.65502</v>
      </c>
      <c r="O24" s="21">
        <v>464.73795</v>
      </c>
      <c r="P24" s="21">
        <v>103.27510000000001</v>
      </c>
      <c r="Q24" s="21">
        <v>61.965059999999994</v>
      </c>
      <c r="R24" s="21">
        <v>92.94758999999999</v>
      </c>
      <c r="S24" s="21">
        <v>18847.695</v>
      </c>
      <c r="T24" s="21">
        <v>188476.95</v>
      </c>
      <c r="U24" s="21">
        <v>18847.695</v>
      </c>
      <c r="V24" s="21">
        <v>94238.475</v>
      </c>
      <c r="W24" s="21">
        <v>15078.156</v>
      </c>
      <c r="X24" s="21">
        <v>15078.156</v>
      </c>
      <c r="Y24" s="21">
        <v>3769.539</v>
      </c>
      <c r="Z24" s="21">
        <v>3769.539</v>
      </c>
      <c r="AA24" s="21">
        <v>18847.695</v>
      </c>
    </row>
    <row r="25">
      <c r="A25" s="1">
        <v>2023.0</v>
      </c>
      <c r="B25" s="1" t="s">
        <v>47</v>
      </c>
      <c r="C25" s="10">
        <v>122200.0</v>
      </c>
      <c r="D25" s="10">
        <v>0.25</v>
      </c>
      <c r="E25" s="7">
        <v>7264.83</v>
      </c>
      <c r="F25" s="4">
        <v>80.5489</v>
      </c>
      <c r="G25" s="4">
        <v>29400.33</v>
      </c>
      <c r="H25" s="4">
        <v>27480.82</v>
      </c>
      <c r="I25" s="4">
        <v>93.47</v>
      </c>
      <c r="J25" s="4">
        <v>406.756</v>
      </c>
      <c r="K25" s="4">
        <v>3972.881</v>
      </c>
      <c r="L25" s="21">
        <v>3.5034288018886484</v>
      </c>
      <c r="M25" s="21">
        <v>1.9277239819004524</v>
      </c>
      <c r="N25" s="21">
        <v>20.567976746016132</v>
      </c>
      <c r="O25" s="21">
        <v>7.057146055479048</v>
      </c>
      <c r="P25" s="21">
        <v>1.4416022821168601</v>
      </c>
      <c r="Q25" s="21">
        <v>26.71993067086366</v>
      </c>
      <c r="R25" s="21">
        <v>23.987591461735196</v>
      </c>
      <c r="S25" s="21">
        <v>12803.853532000001</v>
      </c>
      <c r="T25" s="21">
        <v>2344.936984</v>
      </c>
      <c r="U25" s="21">
        <v>4954.223628</v>
      </c>
      <c r="V25" s="21">
        <v>7240.070688</v>
      </c>
      <c r="W25" s="21">
        <v>1206.678448</v>
      </c>
      <c r="X25" s="21">
        <v>9.329988</v>
      </c>
      <c r="Y25" s="21">
        <v>59.089924</v>
      </c>
      <c r="Z25" s="21">
        <v>587.7892439999999</v>
      </c>
      <c r="AA25" s="21">
        <v>1893.9875639999998</v>
      </c>
    </row>
    <row r="26">
      <c r="A26" s="1">
        <v>2023.0</v>
      </c>
      <c r="B26" s="1" t="s">
        <v>48</v>
      </c>
      <c r="C26" s="10">
        <v>526900.0</v>
      </c>
      <c r="D26" s="10">
        <v>0.28</v>
      </c>
      <c r="E26" s="7">
        <v>40609.7</v>
      </c>
      <c r="F26" s="4">
        <v>419.1087</v>
      </c>
      <c r="G26" s="4">
        <v>152974.7</v>
      </c>
      <c r="H26" s="4">
        <v>25483.46</v>
      </c>
      <c r="I26" s="4">
        <v>16.66</v>
      </c>
      <c r="J26" s="4">
        <v>0.0</v>
      </c>
      <c r="K26" s="4">
        <v>23881.22</v>
      </c>
      <c r="L26" s="21">
        <v>174.93715133171239</v>
      </c>
      <c r="M26" s="21">
        <v>87.47446540901598</v>
      </c>
      <c r="N26" s="21">
        <v>87.47446540901598</v>
      </c>
      <c r="O26" s="21">
        <v>3.2393587378776454</v>
      </c>
      <c r="P26" s="21">
        <v>4.052143293926946</v>
      </c>
      <c r="Q26" s="21">
        <v>64.15108249629692</v>
      </c>
      <c r="R26" s="21">
        <v>0.15313332215421596</v>
      </c>
      <c r="S26" s="21">
        <v>58736.41744</v>
      </c>
      <c r="T26" s="21">
        <v>8676.621119999998</v>
      </c>
      <c r="U26" s="21">
        <v>20983.885120000003</v>
      </c>
      <c r="V26" s="21">
        <v>34968.01384</v>
      </c>
      <c r="W26" s="21">
        <v>5599.80512</v>
      </c>
      <c r="X26" s="21">
        <v>11184.226159999998</v>
      </c>
      <c r="Y26" s="21">
        <v>1646.09656</v>
      </c>
      <c r="Z26" s="21">
        <v>1799.9373599999997</v>
      </c>
      <c r="AA26" s="21">
        <v>10245.797279999999</v>
      </c>
    </row>
    <row r="27">
      <c r="A27" s="1">
        <v>2023.0</v>
      </c>
      <c r="B27" s="1" t="s">
        <v>49</v>
      </c>
      <c r="C27" s="10">
        <v>198900.0</v>
      </c>
      <c r="D27" s="10">
        <v>1.25</v>
      </c>
      <c r="E27" s="7">
        <v>10918.72</v>
      </c>
      <c r="F27" s="4">
        <v>116.428</v>
      </c>
      <c r="G27" s="4">
        <v>42496.23</v>
      </c>
      <c r="H27" s="4">
        <v>40754.84</v>
      </c>
      <c r="I27" s="4">
        <v>95.9</v>
      </c>
      <c r="J27" s="4">
        <v>0.0</v>
      </c>
      <c r="K27" s="4">
        <v>11350.44</v>
      </c>
      <c r="L27" s="21">
        <v>84.82404713302913</v>
      </c>
      <c r="M27" s="21">
        <v>4.747332765846602</v>
      </c>
      <c r="N27" s="21">
        <v>5.055909395626631</v>
      </c>
      <c r="O27" s="21">
        <v>11.630965276324176</v>
      </c>
      <c r="P27" s="21">
        <v>4.315757059860546</v>
      </c>
      <c r="Q27" s="21">
        <v>0.3236817794895411</v>
      </c>
      <c r="R27" s="21">
        <v>5.079106589823382</v>
      </c>
      <c r="S27" s="21">
        <v>6349.7294999999995</v>
      </c>
      <c r="T27" s="21">
        <v>5079.7836</v>
      </c>
      <c r="U27" s="21">
        <v>10413.55638</v>
      </c>
      <c r="V27" s="21">
        <v>2345.166762</v>
      </c>
      <c r="W27" s="21">
        <v>5206.77819</v>
      </c>
      <c r="X27" s="21">
        <v>2607.622248</v>
      </c>
      <c r="Y27" s="21">
        <v>846.6306</v>
      </c>
      <c r="Z27" s="21">
        <v>5465.000523</v>
      </c>
      <c r="AA27" s="21">
        <v>4017.262197</v>
      </c>
    </row>
    <row r="28">
      <c r="A28" s="1">
        <v>2023.0</v>
      </c>
      <c r="B28" s="1" t="s">
        <v>50</v>
      </c>
      <c r="C28" s="10">
        <v>1694700.0</v>
      </c>
      <c r="D28" s="10">
        <v>0.9</v>
      </c>
      <c r="E28" s="7">
        <v>161815.79</v>
      </c>
      <c r="F28" s="4">
        <v>1182.287</v>
      </c>
      <c r="G28" s="4">
        <v>431534.6</v>
      </c>
      <c r="H28" s="4">
        <v>419096.2</v>
      </c>
      <c r="I28" s="4">
        <v>97.12</v>
      </c>
      <c r="J28" s="4">
        <v>84036.15</v>
      </c>
      <c r="K28" s="4">
        <v>24613.45</v>
      </c>
      <c r="L28" s="21">
        <v>858.1953600000002</v>
      </c>
      <c r="M28" s="21">
        <v>5.959690000000002</v>
      </c>
      <c r="N28" s="21">
        <v>95.35504000000003</v>
      </c>
      <c r="O28" s="21">
        <v>30.99038800000001</v>
      </c>
      <c r="P28" s="21">
        <v>107.27442000000002</v>
      </c>
      <c r="Q28" s="21">
        <v>15.495194000000005</v>
      </c>
      <c r="R28" s="21">
        <v>78.66790800000001</v>
      </c>
      <c r="S28" s="21">
        <v>244468.3711645101</v>
      </c>
      <c r="T28" s="21">
        <v>32971.06321626617</v>
      </c>
      <c r="U28" s="21">
        <v>41012.78595194084</v>
      </c>
      <c r="V28" s="21">
        <v>69158.8155268022</v>
      </c>
      <c r="W28" s="21">
        <v>4825.033641404805</v>
      </c>
      <c r="X28" s="21">
        <v>19702.220702402956</v>
      </c>
      <c r="Y28" s="21">
        <v>4020.861367837338</v>
      </c>
      <c r="Z28" s="21">
        <v>7237.550462107209</v>
      </c>
      <c r="AA28" s="21">
        <v>11660.49796672828</v>
      </c>
    </row>
    <row r="29">
      <c r="A29" s="1">
        <v>2024.0</v>
      </c>
      <c r="B29" s="1" t="s">
        <v>7</v>
      </c>
      <c r="C29" s="13">
        <v>2027400.0</v>
      </c>
      <c r="D29" s="7">
        <v>1.03</v>
      </c>
      <c r="E29" s="9">
        <v>104565.53</v>
      </c>
      <c r="F29" s="4">
        <v>963.7579</v>
      </c>
      <c r="G29" s="4">
        <v>351771.6</v>
      </c>
      <c r="H29" s="4">
        <v>69377.92</v>
      </c>
      <c r="I29" s="4">
        <v>19.72</v>
      </c>
      <c r="J29" s="4">
        <v>0.0</v>
      </c>
      <c r="K29" s="4">
        <v>37471.91</v>
      </c>
      <c r="L29" s="21">
        <v>378.401786</v>
      </c>
      <c r="M29" s="21">
        <v>157.24471</v>
      </c>
      <c r="N29" s="21">
        <v>31.448942</v>
      </c>
      <c r="O29" s="21">
        <v>209.997774</v>
      </c>
      <c r="P29" s="21">
        <v>8.115855999999999</v>
      </c>
      <c r="Q29" s="21">
        <v>115.65094799999999</v>
      </c>
      <c r="R29" s="21">
        <v>62.897884</v>
      </c>
      <c r="S29" s="21">
        <v>202866.68172</v>
      </c>
      <c r="T29" s="21">
        <v>6015.29436</v>
      </c>
      <c r="U29" s="21">
        <v>34157.02236</v>
      </c>
      <c r="V29" s="21">
        <v>57760.896720000004</v>
      </c>
      <c r="W29" s="21">
        <v>4678.56228</v>
      </c>
      <c r="X29" s="21">
        <v>4397.145</v>
      </c>
      <c r="Y29" s="21">
        <v>3746.3675399999997</v>
      </c>
      <c r="Z29" s="21">
        <v>4115.727719999999</v>
      </c>
      <c r="AA29" s="21">
        <v>34033.9023</v>
      </c>
    </row>
    <row r="30">
      <c r="A30" s="1">
        <v>2024.0</v>
      </c>
      <c r="B30" s="1" t="s">
        <v>10</v>
      </c>
      <c r="C30" s="13">
        <v>1414800.0</v>
      </c>
      <c r="D30" s="7">
        <v>1.27</v>
      </c>
      <c r="E30" s="9">
        <v>23847.86</v>
      </c>
      <c r="F30" s="4">
        <v>485.1229</v>
      </c>
      <c r="G30" s="4">
        <v>177069.9</v>
      </c>
      <c r="H30" s="4">
        <v>121067.4</v>
      </c>
      <c r="I30" s="4">
        <v>68.37</v>
      </c>
      <c r="J30" s="4">
        <v>40717.43</v>
      </c>
      <c r="K30" s="4">
        <v>54354.08</v>
      </c>
      <c r="L30" s="21">
        <v>306.1455194174758</v>
      </c>
      <c r="M30" s="21">
        <v>42.38937961165049</v>
      </c>
      <c r="N30" s="21">
        <v>18.83972427184466</v>
      </c>
      <c r="O30" s="21">
        <v>28.259586407766992</v>
      </c>
      <c r="P30" s="21">
        <v>47.09931067961165</v>
      </c>
      <c r="Q30" s="21">
        <v>23.549655339805824</v>
      </c>
      <c r="R30" s="21">
        <v>18.83972427184466</v>
      </c>
      <c r="S30" s="21">
        <v>62151.5349</v>
      </c>
      <c r="T30" s="21">
        <v>23054.500979999997</v>
      </c>
      <c r="U30" s="21">
        <v>19070.428229999998</v>
      </c>
      <c r="V30" s="21">
        <v>22257.68643</v>
      </c>
      <c r="W30" s="21">
        <v>637.45164</v>
      </c>
      <c r="X30" s="21">
        <v>814.52154</v>
      </c>
      <c r="Y30" s="21">
        <v>513.50271</v>
      </c>
      <c r="Z30" s="21">
        <v>725.98659</v>
      </c>
      <c r="AA30" s="21">
        <v>47844.28698</v>
      </c>
    </row>
    <row r="31">
      <c r="A31" s="1">
        <v>2024.0</v>
      </c>
      <c r="B31" s="1" t="s">
        <v>15</v>
      </c>
      <c r="C31" s="13">
        <v>795000.0</v>
      </c>
      <c r="D31" s="7">
        <v>0.89</v>
      </c>
      <c r="E31" s="9">
        <v>15753.02</v>
      </c>
      <c r="F31" s="4">
        <v>323.116</v>
      </c>
      <c r="G31" s="4">
        <v>117937.3</v>
      </c>
      <c r="H31" s="4">
        <v>55019.95</v>
      </c>
      <c r="I31" s="4">
        <v>46.65</v>
      </c>
      <c r="J31" s="4">
        <v>0.0</v>
      </c>
      <c r="K31" s="4">
        <v>28385.9</v>
      </c>
      <c r="L31" s="21">
        <v>252.88686802795667</v>
      </c>
      <c r="M31" s="21">
        <v>0.04428066328628204</v>
      </c>
      <c r="N31" s="21">
        <v>0.7084906125805126</v>
      </c>
      <c r="O31" s="21">
        <v>61.46156064135946</v>
      </c>
      <c r="P31" s="21">
        <v>6.287854186652049</v>
      </c>
      <c r="Q31" s="21">
        <v>0.5313679594353844</v>
      </c>
      <c r="R31" s="21">
        <v>1.195577908729615</v>
      </c>
      <c r="S31" s="21">
        <v>25391.900690000002</v>
      </c>
      <c r="T31" s="21">
        <v>29684.818410000003</v>
      </c>
      <c r="U31" s="21">
        <v>8196.64235</v>
      </c>
      <c r="V31" s="21">
        <v>21441.00114</v>
      </c>
      <c r="W31" s="21">
        <v>518.92412</v>
      </c>
      <c r="X31" s="21">
        <v>3644.26257</v>
      </c>
      <c r="Y31" s="21">
        <v>3373.00678</v>
      </c>
      <c r="Z31" s="21">
        <v>943.4984000000001</v>
      </c>
      <c r="AA31" s="21">
        <v>24743.24554</v>
      </c>
    </row>
    <row r="32">
      <c r="A32" s="1">
        <v>2024.0</v>
      </c>
      <c r="B32" s="1" t="s">
        <v>22</v>
      </c>
      <c r="C32" s="13">
        <v>920500.0</v>
      </c>
      <c r="D32" s="7">
        <v>1.25</v>
      </c>
      <c r="E32" s="9">
        <v>16116.16</v>
      </c>
      <c r="F32" s="4">
        <v>363.8656</v>
      </c>
      <c r="G32" s="4">
        <v>132810.9</v>
      </c>
      <c r="H32" s="4">
        <v>67595.44</v>
      </c>
      <c r="I32" s="4">
        <v>50.9</v>
      </c>
      <c r="J32" s="4">
        <v>7891.3</v>
      </c>
      <c r="K32" s="4">
        <v>12254.14</v>
      </c>
      <c r="L32" s="21">
        <v>260.61998898071624</v>
      </c>
      <c r="M32" s="21">
        <v>2.0047691460055095</v>
      </c>
      <c r="N32" s="21">
        <v>10.023845730027547</v>
      </c>
      <c r="O32" s="21">
        <v>50.119228650137735</v>
      </c>
      <c r="P32" s="21">
        <v>6.0143074380165285</v>
      </c>
      <c r="Q32" s="21">
        <v>30.071537190082644</v>
      </c>
      <c r="R32" s="21">
        <v>5.011922865013774</v>
      </c>
      <c r="S32" s="21">
        <v>80921.68136999999</v>
      </c>
      <c r="T32" s="21">
        <v>12617.0355</v>
      </c>
      <c r="U32" s="21">
        <v>18022.43913</v>
      </c>
      <c r="V32" s="21">
        <v>12099.072989999999</v>
      </c>
      <c r="W32" s="21">
        <v>3320.2725</v>
      </c>
      <c r="X32" s="21">
        <v>1328.109</v>
      </c>
      <c r="Y32" s="21">
        <v>411.71379</v>
      </c>
      <c r="Z32" s="21">
        <v>982.8006599999999</v>
      </c>
      <c r="AA32" s="21">
        <v>3107.77506</v>
      </c>
    </row>
    <row r="33">
      <c r="A33" s="1">
        <v>2024.0</v>
      </c>
      <c r="B33" s="1" t="s">
        <v>26</v>
      </c>
      <c r="C33" s="13">
        <v>1341500.0</v>
      </c>
      <c r="D33" s="7">
        <v>0.85</v>
      </c>
      <c r="E33" s="9">
        <v>27538.45</v>
      </c>
      <c r="F33" s="4">
        <v>668.7055</v>
      </c>
      <c r="G33" s="4">
        <v>244077.5</v>
      </c>
      <c r="H33" s="4">
        <v>155092.3</v>
      </c>
      <c r="I33" s="4">
        <v>63.54</v>
      </c>
      <c r="J33" s="4">
        <v>62101.1</v>
      </c>
      <c r="K33" s="4">
        <v>6886.47</v>
      </c>
      <c r="L33" s="21">
        <v>527.14054565</v>
      </c>
      <c r="M33" s="21">
        <v>13.440980549999997</v>
      </c>
      <c r="N33" s="21">
        <v>38.718048450000005</v>
      </c>
      <c r="O33" s="21">
        <v>51.42345295000001</v>
      </c>
      <c r="P33" s="21">
        <v>13.17349835</v>
      </c>
      <c r="Q33" s="21">
        <v>6.4195728</v>
      </c>
      <c r="R33" s="21">
        <v>18.389401250000002</v>
      </c>
      <c r="S33" s="21">
        <v>110835.59274999998</v>
      </c>
      <c r="T33" s="21">
        <v>16377.60025</v>
      </c>
      <c r="U33" s="21">
        <v>10812.633249999999</v>
      </c>
      <c r="V33" s="21">
        <v>60702.07425</v>
      </c>
      <c r="W33" s="21">
        <v>1488.87275</v>
      </c>
      <c r="X33" s="21">
        <v>5247.66625</v>
      </c>
      <c r="Y33" s="21">
        <v>1659.727</v>
      </c>
      <c r="Z33" s="21">
        <v>3221.823</v>
      </c>
      <c r="AA33" s="21">
        <v>33731.510500000004</v>
      </c>
    </row>
    <row r="34">
      <c r="A34" s="1">
        <v>2024.0</v>
      </c>
      <c r="B34" s="1" t="s">
        <v>29</v>
      </c>
      <c r="C34" s="13">
        <v>1099900.0</v>
      </c>
      <c r="D34" s="7">
        <v>0.94</v>
      </c>
      <c r="E34" s="9">
        <v>27562.18</v>
      </c>
      <c r="F34" s="4">
        <v>299.7934</v>
      </c>
      <c r="G34" s="4">
        <v>109424.6</v>
      </c>
      <c r="H34" s="4">
        <v>66984.3</v>
      </c>
      <c r="I34" s="4">
        <v>61.22</v>
      </c>
      <c r="J34" s="4">
        <v>11424.5</v>
      </c>
      <c r="K34" s="4">
        <v>18333.45</v>
      </c>
      <c r="L34" s="21">
        <v>89.94102003402381</v>
      </c>
      <c r="M34" s="21">
        <v>37.47042495747023</v>
      </c>
      <c r="N34" s="21">
        <v>74.95085002835319</v>
      </c>
      <c r="O34" s="21">
        <v>59.960680022682546</v>
      </c>
      <c r="P34" s="21">
        <v>19.490221041395642</v>
      </c>
      <c r="Q34" s="21">
        <v>2.9900339104039495</v>
      </c>
      <c r="R34" s="21">
        <v>14.990170005670636</v>
      </c>
      <c r="S34" s="21">
        <v>25419.334580000002</v>
      </c>
      <c r="T34" s="21">
        <v>39578.87782000001</v>
      </c>
      <c r="U34" s="21">
        <v>15932.221760000002</v>
      </c>
      <c r="V34" s="21">
        <v>7232.966060000001</v>
      </c>
      <c r="W34" s="21">
        <v>14859.860680000002</v>
      </c>
      <c r="X34" s="21">
        <v>4070.5951200000004</v>
      </c>
      <c r="Y34" s="21">
        <v>1159.9007600000002</v>
      </c>
      <c r="Z34" s="21">
        <v>295.44642000000005</v>
      </c>
      <c r="AA34" s="21">
        <v>875.3968000000001</v>
      </c>
    </row>
    <row r="35">
      <c r="A35" s="1">
        <v>2024.0</v>
      </c>
      <c r="B35" s="1" t="s">
        <v>31</v>
      </c>
      <c r="C35" s="13">
        <v>1292800.0</v>
      </c>
      <c r="D35" s="7">
        <v>0.7</v>
      </c>
      <c r="E35" s="9">
        <v>33580.87</v>
      </c>
      <c r="F35" s="4">
        <v>653.9714</v>
      </c>
      <c r="G35" s="4">
        <v>238699.6</v>
      </c>
      <c r="H35" s="4">
        <v>124696.5</v>
      </c>
      <c r="I35" s="4">
        <v>52.24</v>
      </c>
      <c r="J35" s="4">
        <v>0.0</v>
      </c>
      <c r="K35" s="4">
        <v>63375.0</v>
      </c>
      <c r="L35" s="21">
        <v>588.7947448406213</v>
      </c>
      <c r="M35" s="21">
        <v>18.373736718430735</v>
      </c>
      <c r="N35" s="21">
        <v>3.674747343686147</v>
      </c>
      <c r="O35" s="21">
        <v>5.679154985696772</v>
      </c>
      <c r="P35" s="21">
        <v>16.703397016755215</v>
      </c>
      <c r="Q35" s="21">
        <v>10.055445004086637</v>
      </c>
      <c r="R35" s="21">
        <v>10.690174090723337</v>
      </c>
      <c r="S35" s="21">
        <v>143219.76</v>
      </c>
      <c r="T35" s="21">
        <v>11934.98</v>
      </c>
      <c r="U35" s="21">
        <v>11934.98</v>
      </c>
      <c r="V35" s="21">
        <v>47739.92</v>
      </c>
      <c r="W35" s="21">
        <v>1193.498</v>
      </c>
      <c r="X35" s="21">
        <v>11934.98</v>
      </c>
      <c r="Y35" s="21">
        <v>7160.988</v>
      </c>
      <c r="Z35" s="21">
        <v>1193.498</v>
      </c>
      <c r="AA35" s="21">
        <v>2386.996</v>
      </c>
    </row>
    <row r="36">
      <c r="A36" s="1">
        <v>2024.0</v>
      </c>
      <c r="B36" s="1" t="s">
        <v>32</v>
      </c>
      <c r="C36" s="13">
        <v>941700.0</v>
      </c>
      <c r="D36" s="7">
        <v>1.01</v>
      </c>
      <c r="E36" s="9">
        <v>32188.46</v>
      </c>
      <c r="F36" s="4">
        <v>366.5888</v>
      </c>
      <c r="G36" s="4">
        <v>133804.9</v>
      </c>
      <c r="H36" s="4">
        <v>104810.9</v>
      </c>
      <c r="I36" s="4">
        <v>78.33</v>
      </c>
      <c r="J36" s="4">
        <v>312.1833</v>
      </c>
      <c r="K36" s="4">
        <v>20358.87</v>
      </c>
      <c r="L36" s="21">
        <v>240.8401420701305</v>
      </c>
      <c r="M36" s="21">
        <v>37.36503012832738</v>
      </c>
      <c r="N36" s="21">
        <v>14.892076963735935</v>
      </c>
      <c r="O36" s="21">
        <v>13.853327128572596</v>
      </c>
      <c r="P36" s="21">
        <v>30.183673094842387</v>
      </c>
      <c r="Q36" s="21">
        <v>12.474986001144321</v>
      </c>
      <c r="R36" s="21">
        <v>16.979564613246875</v>
      </c>
      <c r="S36" s="21">
        <v>70314.47494999999</v>
      </c>
      <c r="T36" s="21">
        <v>561.9805799999999</v>
      </c>
      <c r="U36" s="21">
        <v>17836.19317</v>
      </c>
      <c r="V36" s="21">
        <v>31832.185709999994</v>
      </c>
      <c r="W36" s="21">
        <v>1190.8636099999999</v>
      </c>
      <c r="X36" s="21">
        <v>1592.2783099999997</v>
      </c>
      <c r="Y36" s="21">
        <v>441.55617</v>
      </c>
      <c r="Z36" s="21">
        <v>1378.19047</v>
      </c>
      <c r="AA36" s="21">
        <v>8657.177029999999</v>
      </c>
    </row>
    <row r="37">
      <c r="A37" s="1">
        <v>2024.0</v>
      </c>
      <c r="B37" s="1" t="s">
        <v>33</v>
      </c>
      <c r="C37" s="13">
        <v>1054200.0</v>
      </c>
      <c r="D37" s="7">
        <v>0.31</v>
      </c>
      <c r="E37" s="9">
        <v>24739.08</v>
      </c>
      <c r="F37" s="4">
        <v>348.4015</v>
      </c>
      <c r="G37" s="4">
        <v>127166.5</v>
      </c>
      <c r="H37" s="4">
        <v>71590.77</v>
      </c>
      <c r="I37" s="4">
        <v>56.3</v>
      </c>
      <c r="J37" s="4">
        <v>44281.07</v>
      </c>
      <c r="K37" s="4">
        <v>5142.908</v>
      </c>
      <c r="L37" s="21">
        <v>156.780675</v>
      </c>
      <c r="M37" s="21">
        <v>52.260225</v>
      </c>
      <c r="N37" s="21">
        <v>13.940060017221583</v>
      </c>
      <c r="O37" s="21">
        <v>87.100375</v>
      </c>
      <c r="P37" s="21">
        <v>20.900089982778415</v>
      </c>
      <c r="Q37" s="21">
        <v>6.970030008610792</v>
      </c>
      <c r="R37" s="21">
        <v>10.450044991389207</v>
      </c>
      <c r="S37" s="21">
        <v>38149.95</v>
      </c>
      <c r="T37" s="21">
        <v>19074.975</v>
      </c>
      <c r="U37" s="21">
        <v>31791.625</v>
      </c>
      <c r="V37" s="21">
        <v>12716.65</v>
      </c>
      <c r="W37" s="21">
        <v>6358.325</v>
      </c>
      <c r="X37" s="21">
        <v>6358.325</v>
      </c>
      <c r="Y37" s="21">
        <v>4450.8275</v>
      </c>
      <c r="Z37" s="21">
        <v>5722.4925</v>
      </c>
      <c r="AA37" s="21">
        <v>2543.33</v>
      </c>
    </row>
    <row r="38">
      <c r="A38" s="1">
        <v>2024.0</v>
      </c>
      <c r="B38" s="1" t="s">
        <v>34</v>
      </c>
      <c r="C38" s="13">
        <v>961900.0</v>
      </c>
      <c r="D38" s="7">
        <v>0.75</v>
      </c>
      <c r="E38" s="9">
        <v>31876.51</v>
      </c>
      <c r="F38" s="4">
        <v>382.0464</v>
      </c>
      <c r="G38" s="4">
        <v>139446.9</v>
      </c>
      <c r="H38" s="4">
        <v>8.838</v>
      </c>
      <c r="I38" s="4">
        <v>0.01</v>
      </c>
      <c r="J38" s="4">
        <v>0.0</v>
      </c>
      <c r="K38" s="4">
        <v>8.838</v>
      </c>
      <c r="L38" s="21">
        <v>195.83475103586736</v>
      </c>
      <c r="M38" s="21">
        <v>8.703766712705217</v>
      </c>
      <c r="N38" s="21">
        <v>4.351883356352609</v>
      </c>
      <c r="O38" s="21">
        <v>91.38955048340478</v>
      </c>
      <c r="P38" s="21">
        <v>4.351883356352609</v>
      </c>
      <c r="Q38" s="21">
        <v>26.1983378052427</v>
      </c>
      <c r="R38" s="21">
        <v>51.216227250074766</v>
      </c>
      <c r="S38" s="21">
        <v>87851.54699999999</v>
      </c>
      <c r="T38" s="21">
        <v>4183.406999999999</v>
      </c>
      <c r="U38" s="21">
        <v>6972.345</v>
      </c>
      <c r="V38" s="21">
        <v>27889.38</v>
      </c>
      <c r="W38" s="21">
        <v>1394.469</v>
      </c>
      <c r="X38" s="21">
        <v>2788.938</v>
      </c>
      <c r="Y38" s="21">
        <v>1394.469</v>
      </c>
      <c r="Z38" s="21">
        <v>4183.406999999999</v>
      </c>
      <c r="AA38" s="21">
        <v>2788.938</v>
      </c>
    </row>
    <row r="39">
      <c r="A39" s="1">
        <v>2024.0</v>
      </c>
      <c r="B39" s="1" t="s">
        <v>35</v>
      </c>
      <c r="C39" s="13">
        <v>1004800.0</v>
      </c>
      <c r="D39" s="7">
        <v>0.77</v>
      </c>
      <c r="E39" s="9">
        <v>32091.21</v>
      </c>
      <c r="F39" s="4">
        <v>598.491</v>
      </c>
      <c r="G39" s="4">
        <v>218449.2</v>
      </c>
      <c r="H39" s="4">
        <v>147121.2</v>
      </c>
      <c r="I39" s="4">
        <v>67.35</v>
      </c>
      <c r="J39" s="4">
        <v>138.7</v>
      </c>
      <c r="K39" s="4">
        <v>72895.84</v>
      </c>
      <c r="L39" s="21">
        <v>188.35031470868353</v>
      </c>
      <c r="M39" s="21">
        <v>40.22006720245952</v>
      </c>
      <c r="N39" s="21">
        <v>50.15008379421544</v>
      </c>
      <c r="O39" s="21">
        <v>148.7802485922906</v>
      </c>
      <c r="P39" s="21">
        <v>102.94017199953214</v>
      </c>
      <c r="Q39" s="21">
        <v>3.770006299186285</v>
      </c>
      <c r="R39" s="21">
        <v>64.28010740363247</v>
      </c>
      <c r="S39" s="21">
        <v>162307.7556</v>
      </c>
      <c r="T39" s="21">
        <v>1747.5936000000002</v>
      </c>
      <c r="U39" s="21">
        <v>19441.9788</v>
      </c>
      <c r="V39" s="21">
        <v>24466.310400000002</v>
      </c>
      <c r="W39" s="21">
        <v>1092.246</v>
      </c>
      <c r="X39" s="21">
        <v>3932.0856000000003</v>
      </c>
      <c r="Y39" s="21">
        <v>655.3476</v>
      </c>
      <c r="Z39" s="21">
        <v>3932.0856000000003</v>
      </c>
      <c r="AA39" s="21">
        <v>873.7968000000001</v>
      </c>
    </row>
    <row r="40">
      <c r="A40" s="1">
        <v>2024.0</v>
      </c>
      <c r="B40" s="1" t="s">
        <v>36</v>
      </c>
      <c r="C40" s="13">
        <v>1370800.0</v>
      </c>
      <c r="D40" s="7">
        <v>0.89</v>
      </c>
      <c r="E40" s="9">
        <v>36787.62</v>
      </c>
      <c r="F40" s="4">
        <v>679.682</v>
      </c>
      <c r="G40" s="4">
        <v>248083.9</v>
      </c>
      <c r="H40" s="4">
        <v>106278.2</v>
      </c>
      <c r="I40" s="4">
        <v>42.84</v>
      </c>
      <c r="J40" s="4">
        <v>0.0</v>
      </c>
      <c r="K40" s="4">
        <v>37290.51</v>
      </c>
      <c r="L40" s="21">
        <v>512.3015074741054</v>
      </c>
      <c r="M40" s="21">
        <v>20.60006061676083</v>
      </c>
      <c r="N40" s="21">
        <v>25.000073564030128</v>
      </c>
      <c r="O40" s="21">
        <v>26.60007827212806</v>
      </c>
      <c r="P40" s="21">
        <v>18.500054437382296</v>
      </c>
      <c r="Q40" s="21">
        <v>18.08005320150659</v>
      </c>
      <c r="R40" s="21">
        <v>58.60017243408662</v>
      </c>
      <c r="S40" s="21">
        <v>74425.17</v>
      </c>
      <c r="T40" s="21">
        <v>12404.195</v>
      </c>
      <c r="U40" s="21">
        <v>49616.78</v>
      </c>
      <c r="V40" s="21">
        <v>62020.975</v>
      </c>
      <c r="W40" s="21">
        <v>12404.195</v>
      </c>
      <c r="X40" s="21">
        <v>12404.195</v>
      </c>
      <c r="Y40" s="21">
        <v>4961.678</v>
      </c>
      <c r="Z40" s="21">
        <v>12404.195</v>
      </c>
      <c r="AA40" s="21">
        <v>7442.517</v>
      </c>
    </row>
    <row r="41">
      <c r="A41" s="1">
        <v>2024.0</v>
      </c>
      <c r="B41" s="1" t="s">
        <v>37</v>
      </c>
      <c r="C41" s="13">
        <v>883300.0</v>
      </c>
      <c r="D41" s="7">
        <v>1.06</v>
      </c>
      <c r="E41" s="9">
        <v>75045.07</v>
      </c>
      <c r="F41" s="4">
        <v>438.9105</v>
      </c>
      <c r="G41" s="4">
        <v>160202.3</v>
      </c>
      <c r="H41" s="4">
        <v>31178.68</v>
      </c>
      <c r="I41" s="4">
        <v>19.46</v>
      </c>
      <c r="J41" s="4">
        <v>0.0</v>
      </c>
      <c r="K41" s="4">
        <v>31178.68</v>
      </c>
      <c r="L41" s="21">
        <v>240.3526440019205</v>
      </c>
      <c r="M41" s="21">
        <v>14.991935961041634</v>
      </c>
      <c r="N41" s="21">
        <v>25.849549555316766</v>
      </c>
      <c r="O41" s="21">
        <v>90.87481396465397</v>
      </c>
      <c r="P41" s="21">
        <v>30.9572439356181</v>
      </c>
      <c r="Q41" s="21">
        <v>21.012793776721004</v>
      </c>
      <c r="R41" s="21">
        <v>14.871518804728046</v>
      </c>
      <c r="S41" s="21">
        <v>49102.004949999995</v>
      </c>
      <c r="T41" s="21">
        <v>39874.35247</v>
      </c>
      <c r="U41" s="21">
        <v>16148.391839999998</v>
      </c>
      <c r="V41" s="21">
        <v>20858.33946</v>
      </c>
      <c r="W41" s="21">
        <v>8394.60052</v>
      </c>
      <c r="X41" s="21">
        <v>8698.98489</v>
      </c>
      <c r="Y41" s="21">
        <v>5799.32326</v>
      </c>
      <c r="Z41" s="21">
        <v>9243.672709999999</v>
      </c>
      <c r="AA41" s="21">
        <v>2082.6299</v>
      </c>
    </row>
    <row r="42">
      <c r="A42" s="1">
        <v>2024.0</v>
      </c>
      <c r="B42" s="1" t="s">
        <v>38</v>
      </c>
      <c r="C42" s="13">
        <v>1232900.0</v>
      </c>
      <c r="D42" s="7">
        <v>1.02</v>
      </c>
      <c r="E42" s="9">
        <v>25488.89</v>
      </c>
      <c r="F42" s="4">
        <v>432.6466</v>
      </c>
      <c r="G42" s="4">
        <v>157916.0</v>
      </c>
      <c r="H42" s="4">
        <v>79780.09</v>
      </c>
      <c r="I42" s="4">
        <v>50.52</v>
      </c>
      <c r="J42" s="4">
        <v>0.0</v>
      </c>
      <c r="K42" s="4">
        <v>23142.63</v>
      </c>
      <c r="L42" s="21">
        <v>212.9176835901171</v>
      </c>
      <c r="M42" s="21">
        <v>2.690558160121015</v>
      </c>
      <c r="N42" s="21">
        <v>116.51813581713259</v>
      </c>
      <c r="O42" s="21">
        <v>19.100539010588825</v>
      </c>
      <c r="P42" s="21">
        <v>14.034533105496104</v>
      </c>
      <c r="Q42" s="21">
        <v>3.7570857190879035</v>
      </c>
      <c r="R42" s="21">
        <v>63.62806459745644</v>
      </c>
      <c r="S42" s="21">
        <v>84185.01960000001</v>
      </c>
      <c r="T42" s="21">
        <v>1515.9935999999998</v>
      </c>
      <c r="U42" s="21">
        <v>13880.8164</v>
      </c>
      <c r="V42" s="21">
        <v>36889.177599999995</v>
      </c>
      <c r="W42" s="21">
        <v>1089.6204</v>
      </c>
      <c r="X42" s="21">
        <v>3853.1504</v>
      </c>
      <c r="Y42" s="21">
        <v>1484.4103999999998</v>
      </c>
      <c r="Z42" s="21">
        <v>1831.8256</v>
      </c>
      <c r="AA42" s="21">
        <v>13185.985999999999</v>
      </c>
    </row>
    <row r="43">
      <c r="A43" s="1">
        <v>2024.0</v>
      </c>
      <c r="B43" s="1" t="s">
        <v>39</v>
      </c>
      <c r="C43" s="13">
        <v>1253000.0</v>
      </c>
      <c r="D43" s="7">
        <v>1.07</v>
      </c>
      <c r="E43" s="9">
        <v>21907.94</v>
      </c>
      <c r="F43" s="4">
        <v>626.485</v>
      </c>
      <c r="G43" s="4">
        <v>228667.0</v>
      </c>
      <c r="H43" s="4">
        <v>156.036</v>
      </c>
      <c r="I43" s="4">
        <v>0.07</v>
      </c>
      <c r="J43" s="4">
        <v>0.0</v>
      </c>
      <c r="K43" s="4">
        <v>156.036</v>
      </c>
      <c r="L43" s="21">
        <v>493.91605803763815</v>
      </c>
      <c r="M43" s="21">
        <v>12.599899439735667</v>
      </c>
      <c r="N43" s="21">
        <v>36.25971060990597</v>
      </c>
      <c r="O43" s="21">
        <v>48.14961571613273</v>
      </c>
      <c r="P43" s="21">
        <v>12.319901674408207</v>
      </c>
      <c r="Q43" s="21">
        <v>6.019951954540375</v>
      </c>
      <c r="R43" s="21">
        <v>17.219862567638746</v>
      </c>
      <c r="S43" s="21">
        <v>90757.93229999999</v>
      </c>
      <c r="T43" s="21">
        <v>29498.043</v>
      </c>
      <c r="U43" s="21">
        <v>27622.973599999998</v>
      </c>
      <c r="V43" s="21">
        <v>40908.526300000005</v>
      </c>
      <c r="W43" s="21">
        <v>7454.544199999999</v>
      </c>
      <c r="X43" s="21">
        <v>5693.808300000001</v>
      </c>
      <c r="Y43" s="21">
        <v>4001.6725</v>
      </c>
      <c r="Z43" s="21">
        <v>5396.5412</v>
      </c>
      <c r="AA43" s="21">
        <v>17332.9586</v>
      </c>
    </row>
    <row r="44">
      <c r="A44" s="1">
        <v>2024.0</v>
      </c>
      <c r="B44" s="1" t="s">
        <v>40</v>
      </c>
      <c r="C44" s="13">
        <v>1089800.0</v>
      </c>
      <c r="D44" s="7">
        <v>0.9</v>
      </c>
      <c r="E44" s="9">
        <v>41548.39</v>
      </c>
      <c r="F44" s="4">
        <v>538.956</v>
      </c>
      <c r="G44" s="4">
        <v>196718.9</v>
      </c>
      <c r="H44" s="4">
        <v>117381.3</v>
      </c>
      <c r="I44" s="4">
        <v>59.67</v>
      </c>
      <c r="J44" s="4">
        <v>170.6375</v>
      </c>
      <c r="K44" s="4">
        <v>28148.88</v>
      </c>
      <c r="L44" s="21">
        <v>377.2692</v>
      </c>
      <c r="M44" s="21">
        <v>10.168981132075471</v>
      </c>
      <c r="N44" s="21">
        <v>10.168981132075471</v>
      </c>
      <c r="O44" s="21">
        <v>86.43633962264151</v>
      </c>
      <c r="P44" s="21">
        <v>10.168981132075471</v>
      </c>
      <c r="Q44" s="21">
        <v>20.337962264150942</v>
      </c>
      <c r="R44" s="21">
        <v>24.405554716981133</v>
      </c>
      <c r="S44" s="21">
        <v>121100.15483999999</v>
      </c>
      <c r="T44" s="21">
        <v>22780.048619999998</v>
      </c>
      <c r="U44" s="21">
        <v>8360.553249999999</v>
      </c>
      <c r="V44" s="21">
        <v>36452.01217</v>
      </c>
      <c r="W44" s="21">
        <v>531.14103</v>
      </c>
      <c r="X44" s="21">
        <v>354.09401999999994</v>
      </c>
      <c r="Y44" s="21">
        <v>2095.056285</v>
      </c>
      <c r="Z44" s="21">
        <v>747.53182</v>
      </c>
      <c r="AA44" s="21">
        <v>4298.307965</v>
      </c>
    </row>
    <row r="45">
      <c r="A45" s="1">
        <v>2024.0</v>
      </c>
      <c r="B45" s="1" t="s">
        <v>41</v>
      </c>
      <c r="C45" s="13">
        <v>814900.0</v>
      </c>
      <c r="D45" s="7">
        <v>0.84</v>
      </c>
      <c r="E45" s="9">
        <v>17852.53</v>
      </c>
      <c r="F45" s="4">
        <v>405.899</v>
      </c>
      <c r="G45" s="4">
        <v>148153.1</v>
      </c>
      <c r="H45" s="4">
        <v>46305.59</v>
      </c>
      <c r="I45" s="4">
        <v>31.26</v>
      </c>
      <c r="J45" s="4">
        <v>24259.68</v>
      </c>
      <c r="K45" s="4">
        <v>21830.03</v>
      </c>
      <c r="L45" s="21">
        <v>273.5987007754723</v>
      </c>
      <c r="M45" s="21">
        <v>10.616885727117577</v>
      </c>
      <c r="N45" s="21">
        <v>10.830779029312254</v>
      </c>
      <c r="O45" s="21">
        <v>12.921099937123863</v>
      </c>
      <c r="P45" s="21">
        <v>46.823188334980074</v>
      </c>
      <c r="Q45" s="21">
        <v>39.842488745172005</v>
      </c>
      <c r="R45" s="21">
        <v>11.265857450821878</v>
      </c>
      <c r="S45" s="21">
        <v>45853.384450000005</v>
      </c>
      <c r="T45" s="21">
        <v>25423.07196</v>
      </c>
      <c r="U45" s="21">
        <v>10904.06816</v>
      </c>
      <c r="V45" s="21">
        <v>28504.65644</v>
      </c>
      <c r="W45" s="21">
        <v>11215.189670000002</v>
      </c>
      <c r="X45" s="21">
        <v>2800.09359</v>
      </c>
      <c r="Y45" s="21">
        <v>3111.2151</v>
      </c>
      <c r="Z45" s="21">
        <v>2992.69262</v>
      </c>
      <c r="AA45" s="21">
        <v>17348.728010000003</v>
      </c>
    </row>
    <row r="46">
      <c r="A46" s="1">
        <v>2024.0</v>
      </c>
      <c r="B46" s="1" t="s">
        <v>42</v>
      </c>
      <c r="C46" s="13">
        <v>1064800.0</v>
      </c>
      <c r="D46" s="7">
        <v>1.2</v>
      </c>
      <c r="E46" s="9">
        <v>37217.51</v>
      </c>
      <c r="F46" s="4">
        <v>437.2184</v>
      </c>
      <c r="G46" s="4">
        <v>159584.7</v>
      </c>
      <c r="H46" s="4">
        <v>1178.165</v>
      </c>
      <c r="I46" s="4">
        <v>0.74</v>
      </c>
      <c r="J46" s="4">
        <v>0.0</v>
      </c>
      <c r="K46" s="4">
        <v>1178.165</v>
      </c>
      <c r="L46" s="21">
        <v>262.3351905449022</v>
      </c>
      <c r="M46" s="21">
        <v>20.036755515473704</v>
      </c>
      <c r="N46" s="21">
        <v>26.418218302639076</v>
      </c>
      <c r="O46" s="21">
        <v>65.57860945509779</v>
      </c>
      <c r="P46" s="21">
        <v>43.725990544902224</v>
      </c>
      <c r="Q46" s="21">
        <v>2.2827996962217583</v>
      </c>
      <c r="R46" s="21">
        <v>16.84083594076324</v>
      </c>
      <c r="S46" s="21">
        <v>48848.876670000005</v>
      </c>
      <c r="T46" s="21">
        <v>24065.372760000002</v>
      </c>
      <c r="U46" s="21">
        <v>15144.58803</v>
      </c>
      <c r="V46" s="21">
        <v>36736.39794</v>
      </c>
      <c r="W46" s="21">
        <v>462.79563</v>
      </c>
      <c r="X46" s="21">
        <v>12766.776000000002</v>
      </c>
      <c r="Y46" s="21">
        <v>1707.5562900000002</v>
      </c>
      <c r="Z46" s="21">
        <v>1388.3868900000002</v>
      </c>
      <c r="AA46" s="21">
        <v>18463.949790000002</v>
      </c>
    </row>
    <row r="47">
      <c r="A47" s="1">
        <v>2024.0</v>
      </c>
      <c r="B47" s="1" t="s">
        <v>43</v>
      </c>
      <c r="C47" s="13">
        <v>1019000.0</v>
      </c>
      <c r="D47" s="7">
        <v>1.21</v>
      </c>
      <c r="E47" s="9">
        <v>19291.18</v>
      </c>
      <c r="F47" s="4">
        <v>402.9536</v>
      </c>
      <c r="G47" s="4">
        <v>147078.1</v>
      </c>
      <c r="H47" s="4">
        <v>6424.469</v>
      </c>
      <c r="I47" s="4">
        <v>4.37</v>
      </c>
      <c r="J47" s="4">
        <v>22.4475</v>
      </c>
      <c r="K47" s="4">
        <v>4696.509</v>
      </c>
      <c r="L47" s="21">
        <v>204.74691036878937</v>
      </c>
      <c r="M47" s="21">
        <v>56.371902595919984</v>
      </c>
      <c r="N47" s="21">
        <v>60.44203996624806</v>
      </c>
      <c r="O47" s="21">
        <v>27.600931553084823</v>
      </c>
      <c r="P47" s="21">
        <v>15.31051674194669</v>
      </c>
      <c r="Q47" s="21">
        <v>3.060103280885491</v>
      </c>
      <c r="R47" s="21">
        <v>35.42119549312552</v>
      </c>
      <c r="S47" s="21">
        <v>45888.3672</v>
      </c>
      <c r="T47" s="21">
        <v>18973.074900000003</v>
      </c>
      <c r="U47" s="21">
        <v>15296.122400000002</v>
      </c>
      <c r="V47" s="21">
        <v>39269.8527</v>
      </c>
      <c r="W47" s="21">
        <v>3971.1087000000007</v>
      </c>
      <c r="X47" s="21">
        <v>3824.0306000000005</v>
      </c>
      <c r="Y47" s="21">
        <v>2941.562</v>
      </c>
      <c r="Z47" s="21">
        <v>1912.0153000000003</v>
      </c>
      <c r="AA47" s="21">
        <v>15001.966199999999</v>
      </c>
    </row>
    <row r="48">
      <c r="A48" s="1">
        <v>2024.0</v>
      </c>
      <c r="B48" s="1" t="s">
        <v>44</v>
      </c>
      <c r="C48" s="13">
        <v>1541700.0</v>
      </c>
      <c r="D48" s="7">
        <v>1.25</v>
      </c>
      <c r="E48" s="9">
        <v>21788.37</v>
      </c>
      <c r="F48" s="4">
        <v>472.3228</v>
      </c>
      <c r="G48" s="4">
        <v>172397.8</v>
      </c>
      <c r="H48" s="4">
        <v>68427.5</v>
      </c>
      <c r="I48" s="4">
        <v>39.69</v>
      </c>
      <c r="J48" s="4">
        <v>1350.5</v>
      </c>
      <c r="K48" s="4">
        <v>67077.0</v>
      </c>
      <c r="L48" s="21">
        <v>170.036208</v>
      </c>
      <c r="M48" s="21">
        <v>51.955507999999995</v>
      </c>
      <c r="N48" s="21">
        <v>37.785824</v>
      </c>
      <c r="O48" s="21">
        <v>113.35747199999999</v>
      </c>
      <c r="P48" s="21">
        <v>33.062596</v>
      </c>
      <c r="Q48" s="21">
        <v>9.446456</v>
      </c>
      <c r="R48" s="21">
        <v>56.678735999999994</v>
      </c>
      <c r="S48" s="21">
        <v>39651.494</v>
      </c>
      <c r="T48" s="21">
        <v>27583.647999999997</v>
      </c>
      <c r="U48" s="21">
        <v>18963.757999999998</v>
      </c>
      <c r="V48" s="21">
        <v>36203.538</v>
      </c>
      <c r="W48" s="21">
        <v>8619.89</v>
      </c>
      <c r="X48" s="21">
        <v>10343.867999999999</v>
      </c>
      <c r="Y48" s="21">
        <v>10343.867999999999</v>
      </c>
      <c r="Z48" s="21">
        <v>15515.802</v>
      </c>
      <c r="AA48" s="21">
        <v>5171.933999999999</v>
      </c>
    </row>
    <row r="49">
      <c r="A49" s="1">
        <v>2024.0</v>
      </c>
      <c r="B49" s="1" t="s">
        <v>45</v>
      </c>
      <c r="C49" s="13">
        <v>1674800.0</v>
      </c>
      <c r="D49" s="7">
        <v>1.28</v>
      </c>
      <c r="E49" s="9">
        <v>29451.96</v>
      </c>
      <c r="F49" s="4">
        <v>661.944</v>
      </c>
      <c r="G49" s="4">
        <v>241609.6</v>
      </c>
      <c r="H49" s="4">
        <v>41665.26</v>
      </c>
      <c r="I49" s="4">
        <v>17.24</v>
      </c>
      <c r="J49" s="4">
        <v>548.6238</v>
      </c>
      <c r="K49" s="4">
        <v>41116.63</v>
      </c>
      <c r="L49" s="21">
        <v>474.82619347716</v>
      </c>
      <c r="M49" s="21">
        <v>26.574515394687023</v>
      </c>
      <c r="N49" s="21">
        <v>28.301858895341677</v>
      </c>
      <c r="O49" s="21">
        <v>65.1075627169832</v>
      </c>
      <c r="P49" s="21">
        <v>24.158650358806383</v>
      </c>
      <c r="Q49" s="21">
        <v>14.54350751600144</v>
      </c>
      <c r="R49" s="21">
        <v>28.431711641020264</v>
      </c>
      <c r="S49" s="21">
        <v>126941.68384</v>
      </c>
      <c r="T49" s="21">
        <v>8190.56544</v>
      </c>
      <c r="U49" s="21">
        <v>10775.788160000002</v>
      </c>
      <c r="V49" s="21">
        <v>55787.65664</v>
      </c>
      <c r="W49" s="21">
        <v>507.38015999999993</v>
      </c>
      <c r="X49" s="21">
        <v>10002.637439999999</v>
      </c>
      <c r="Y49" s="21">
        <v>2573.1422399999997</v>
      </c>
      <c r="Z49" s="21">
        <v>2246.9692800000003</v>
      </c>
      <c r="AA49" s="21">
        <v>24583.776800000003</v>
      </c>
    </row>
    <row r="50">
      <c r="A50" s="1">
        <v>2024.0</v>
      </c>
      <c r="B50" s="1" t="s">
        <v>46</v>
      </c>
      <c r="C50" s="13">
        <v>2065500.0</v>
      </c>
      <c r="D50" s="7">
        <v>1.16</v>
      </c>
      <c r="E50" s="9">
        <v>38563.2</v>
      </c>
      <c r="F50" s="4">
        <v>1021.539</v>
      </c>
      <c r="G50" s="4">
        <v>372861.6</v>
      </c>
      <c r="H50" s="4">
        <v>6080.211</v>
      </c>
      <c r="I50" s="4">
        <v>1.63</v>
      </c>
      <c r="J50" s="4">
        <v>0.0</v>
      </c>
      <c r="K50" s="4">
        <v>6075.315</v>
      </c>
      <c r="L50" s="21">
        <v>255.38475</v>
      </c>
      <c r="M50" s="21">
        <v>30.646169999999998</v>
      </c>
      <c r="N50" s="21">
        <v>20.43078</v>
      </c>
      <c r="O50" s="21">
        <v>459.69255</v>
      </c>
      <c r="P50" s="21">
        <v>102.15390000000001</v>
      </c>
      <c r="Q50" s="21">
        <v>61.292339999999996</v>
      </c>
      <c r="R50" s="21">
        <v>91.93851</v>
      </c>
      <c r="S50" s="21">
        <v>18643.08</v>
      </c>
      <c r="T50" s="21">
        <v>186430.8</v>
      </c>
      <c r="U50" s="21">
        <v>18643.08</v>
      </c>
      <c r="V50" s="21">
        <v>93215.4</v>
      </c>
      <c r="W50" s="21">
        <v>14914.464</v>
      </c>
      <c r="X50" s="21">
        <v>14914.464</v>
      </c>
      <c r="Y50" s="21">
        <v>3728.616</v>
      </c>
      <c r="Z50" s="21">
        <v>3728.616</v>
      </c>
      <c r="AA50" s="21">
        <v>18643.08</v>
      </c>
    </row>
    <row r="51">
      <c r="A51" s="1">
        <v>2024.0</v>
      </c>
      <c r="B51" s="1" t="s">
        <v>47</v>
      </c>
      <c r="C51" s="13">
        <v>122400.0</v>
      </c>
      <c r="D51" s="7">
        <v>0.24</v>
      </c>
      <c r="E51" s="9">
        <v>7671.43</v>
      </c>
      <c r="F51" s="4">
        <v>80.8633</v>
      </c>
      <c r="G51" s="4">
        <v>29515.1</v>
      </c>
      <c r="H51" s="4">
        <v>27966.76</v>
      </c>
      <c r="I51" s="4">
        <v>94.75</v>
      </c>
      <c r="J51" s="4">
        <v>13.1674</v>
      </c>
      <c r="K51" s="4">
        <v>4990.54</v>
      </c>
      <c r="L51" s="21">
        <v>8.223386440677965</v>
      </c>
      <c r="M51" s="21">
        <v>9.802798757062146</v>
      </c>
      <c r="N51" s="21">
        <v>8.66718824858757</v>
      </c>
      <c r="O51" s="21">
        <v>14.55408870056497</v>
      </c>
      <c r="P51" s="21">
        <v>10.024699661016948</v>
      </c>
      <c r="Q51" s="21">
        <v>18.313351073446327</v>
      </c>
      <c r="R51" s="21">
        <v>11.277787118644067</v>
      </c>
      <c r="S51" s="21">
        <v>13146.02554</v>
      </c>
      <c r="T51" s="21">
        <v>4049.47172</v>
      </c>
      <c r="U51" s="21">
        <v>6201.12251</v>
      </c>
      <c r="V51" s="21">
        <v>3863.52659</v>
      </c>
      <c r="W51" s="21">
        <v>1097.96172</v>
      </c>
      <c r="X51" s="21">
        <v>0.0</v>
      </c>
      <c r="Y51" s="21">
        <v>2.9515100000000003</v>
      </c>
      <c r="Z51" s="21">
        <v>749.6835399999999</v>
      </c>
      <c r="AA51" s="21">
        <v>404.35686999999996</v>
      </c>
    </row>
    <row r="52">
      <c r="A52" s="1">
        <v>2024.0</v>
      </c>
      <c r="B52" s="1" t="s">
        <v>48</v>
      </c>
      <c r="C52" s="13">
        <v>528000.0</v>
      </c>
      <c r="D52" s="7">
        <v>0.26</v>
      </c>
      <c r="E52" s="9">
        <v>42891.23</v>
      </c>
      <c r="F52" s="4">
        <v>420.1669</v>
      </c>
      <c r="G52" s="4">
        <v>153360.9</v>
      </c>
      <c r="H52" s="4">
        <v>41783.69</v>
      </c>
      <c r="I52" s="4">
        <v>27.25</v>
      </c>
      <c r="J52" s="4">
        <v>10463.29</v>
      </c>
      <c r="K52" s="4">
        <v>14976.41</v>
      </c>
      <c r="L52" s="21">
        <v>174.39139856068866</v>
      </c>
      <c r="M52" s="21">
        <v>87.20157064922725</v>
      </c>
      <c r="N52" s="21">
        <v>87.20157064922725</v>
      </c>
      <c r="O52" s="21">
        <v>3.229252885609682</v>
      </c>
      <c r="P52" s="21">
        <v>4.039501791453565</v>
      </c>
      <c r="Q52" s="21">
        <v>63.95094987283755</v>
      </c>
      <c r="R52" s="21">
        <v>0.15265559095609404</v>
      </c>
      <c r="S52" s="21">
        <v>58553.19162</v>
      </c>
      <c r="T52" s="21">
        <v>8649.554759999999</v>
      </c>
      <c r="U52" s="21">
        <v>20918.42676</v>
      </c>
      <c r="V52" s="21">
        <v>34858.93257</v>
      </c>
      <c r="W52" s="21">
        <v>5582.33676</v>
      </c>
      <c r="X52" s="21">
        <v>11149.337429999998</v>
      </c>
      <c r="Y52" s="21">
        <v>1633.2935849999997</v>
      </c>
      <c r="Z52" s="21">
        <v>1993.6917</v>
      </c>
      <c r="AA52" s="21">
        <v>10022.134815</v>
      </c>
    </row>
    <row r="53">
      <c r="A53" s="1">
        <v>2024.0</v>
      </c>
      <c r="B53" s="1" t="s">
        <v>49</v>
      </c>
      <c r="C53" s="13">
        <v>201300.0</v>
      </c>
      <c r="D53" s="7">
        <v>1.24</v>
      </c>
      <c r="E53" s="9">
        <v>11509.89</v>
      </c>
      <c r="F53" s="4">
        <v>115.0558</v>
      </c>
      <c r="G53" s="4">
        <v>41995.35</v>
      </c>
      <c r="H53" s="4">
        <v>40389.82</v>
      </c>
      <c r="I53" s="4">
        <v>96.18</v>
      </c>
      <c r="J53" s="4">
        <v>30.295</v>
      </c>
      <c r="K53" s="4">
        <v>11532.72</v>
      </c>
      <c r="L53" s="21">
        <v>82.53191743028026</v>
      </c>
      <c r="M53" s="21">
        <v>4.619049539459579</v>
      </c>
      <c r="N53" s="21">
        <v>4.919287759524451</v>
      </c>
      <c r="O53" s="21">
        <v>11.316671371675966</v>
      </c>
      <c r="P53" s="21">
        <v>4.1991359449632535</v>
      </c>
      <c r="Q53" s="21">
        <v>2.5278798388678783</v>
      </c>
      <c r="R53" s="21">
        <v>4.941858115228629</v>
      </c>
      <c r="S53" s="21">
        <v>6299.3025</v>
      </c>
      <c r="T53" s="21">
        <v>5039.441999999999</v>
      </c>
      <c r="U53" s="21">
        <v>10330.856099999999</v>
      </c>
      <c r="V53" s="21">
        <v>5421.599684999999</v>
      </c>
      <c r="W53" s="21">
        <v>5165.4280499999995</v>
      </c>
      <c r="X53" s="21">
        <v>2586.91356</v>
      </c>
      <c r="Y53" s="21">
        <v>839.9069999999999</v>
      </c>
      <c r="Z53" s="21">
        <v>3158.0503199999994</v>
      </c>
      <c r="AA53" s="21">
        <v>3153.850785</v>
      </c>
    </row>
    <row r="54">
      <c r="A54" s="1">
        <v>2024.0</v>
      </c>
      <c r="B54" s="1" t="s">
        <v>50</v>
      </c>
      <c r="C54" s="13">
        <v>1708800.0</v>
      </c>
      <c r="D54" s="7">
        <v>0.89</v>
      </c>
      <c r="E54" s="9">
        <v>171014.75</v>
      </c>
      <c r="F54" s="4">
        <v>1189.71</v>
      </c>
      <c r="G54" s="4">
        <v>434244.0</v>
      </c>
      <c r="H54" s="4">
        <v>119268.7</v>
      </c>
      <c r="I54" s="4">
        <v>27.47</v>
      </c>
      <c r="J54" s="4">
        <v>94133.14</v>
      </c>
      <c r="K54" s="4">
        <v>25111.55</v>
      </c>
      <c r="L54" s="21">
        <v>856.5912000000001</v>
      </c>
      <c r="M54" s="21">
        <v>5.948550000000002</v>
      </c>
      <c r="N54" s="21">
        <v>95.17680000000003</v>
      </c>
      <c r="O54" s="21">
        <v>30.932460000000006</v>
      </c>
      <c r="P54" s="21">
        <v>107.07390000000001</v>
      </c>
      <c r="Q54" s="21">
        <v>15.466230000000003</v>
      </c>
      <c r="R54" s="21">
        <v>78.52086000000001</v>
      </c>
      <c r="S54" s="21">
        <v>235732.45714285714</v>
      </c>
      <c r="T54" s="21">
        <v>46526.142857142855</v>
      </c>
      <c r="U54" s="21">
        <v>39547.22142857142</v>
      </c>
      <c r="V54" s="21">
        <v>66687.47142857143</v>
      </c>
      <c r="W54" s="21">
        <v>4652.614285714286</v>
      </c>
      <c r="X54" s="21">
        <v>18998.175</v>
      </c>
      <c r="Y54" s="21">
        <v>3877.178571428571</v>
      </c>
      <c r="Z54" s="21">
        <v>6978.92142857143</v>
      </c>
      <c r="AA54" s="21">
        <v>11243.817857142856</v>
      </c>
    </row>
    <row r="55">
      <c r="A55" s="1">
        <v>2025.0</v>
      </c>
      <c r="B55" s="1" t="s">
        <v>7</v>
      </c>
      <c r="C55" s="10">
        <v>2046400.0</v>
      </c>
      <c r="D55" s="10">
        <v>1.08</v>
      </c>
      <c r="E55" s="11">
        <v>108031.28</v>
      </c>
      <c r="F55" s="4">
        <v>988.679</v>
      </c>
      <c r="G55" s="4">
        <v>360867.9</v>
      </c>
      <c r="H55" s="4">
        <v>76414.77</v>
      </c>
      <c r="I55" s="4">
        <v>21.18</v>
      </c>
      <c r="J55" s="4">
        <v>13279.06</v>
      </c>
      <c r="K55" s="4">
        <v>15295.32</v>
      </c>
      <c r="L55" s="21">
        <v>368.09636295546557</v>
      </c>
      <c r="M55" s="21">
        <v>154.58114979757084</v>
      </c>
      <c r="N55" s="21">
        <v>34.78075870445344</v>
      </c>
      <c r="O55" s="21">
        <v>204.82002348178136</v>
      </c>
      <c r="P55" s="21">
        <v>12.559718421052631</v>
      </c>
      <c r="Q55" s="21">
        <v>114.96973016194332</v>
      </c>
      <c r="R55" s="21">
        <v>64.7308564777328</v>
      </c>
      <c r="S55" s="21">
        <v>200926.08621999997</v>
      </c>
      <c r="T55" s="21">
        <v>37035.62158</v>
      </c>
      <c r="U55" s="21">
        <v>33830.28086</v>
      </c>
      <c r="V55" s="21">
        <v>57208.36372</v>
      </c>
      <c r="W55" s="21">
        <v>4633.80778</v>
      </c>
      <c r="X55" s="21">
        <v>4355.0825</v>
      </c>
      <c r="Y55" s="21">
        <v>3484.066</v>
      </c>
      <c r="Z55" s="21">
        <v>4076.3572199999994</v>
      </c>
      <c r="AA55" s="21">
        <v>2856.9341199999994</v>
      </c>
    </row>
    <row r="56">
      <c r="A56" s="1">
        <v>2025.0</v>
      </c>
      <c r="B56" s="1" t="s">
        <v>10</v>
      </c>
      <c r="C56" s="10">
        <v>1431800.0</v>
      </c>
      <c r="D56" s="10">
        <v>1.24</v>
      </c>
      <c r="E56" s="11">
        <v>25253.4</v>
      </c>
      <c r="F56" s="4">
        <v>720.7125</v>
      </c>
      <c r="G56" s="4">
        <v>263060.1</v>
      </c>
      <c r="H56" s="4">
        <v>127694.0</v>
      </c>
      <c r="I56" s="4">
        <v>48.54</v>
      </c>
      <c r="J56" s="4">
        <v>41062.14</v>
      </c>
      <c r="K56" s="4">
        <v>48505.55</v>
      </c>
      <c r="L56" s="21">
        <v>304.9248446601942</v>
      </c>
      <c r="M56" s="21">
        <v>42.22036310679612</v>
      </c>
      <c r="N56" s="21">
        <v>18.764605825242718</v>
      </c>
      <c r="O56" s="21">
        <v>28.14690873786408</v>
      </c>
      <c r="P56" s="21">
        <v>46.9115145631068</v>
      </c>
      <c r="Q56" s="21">
        <v>23.4557572815534</v>
      </c>
      <c r="R56" s="21">
        <v>18.764605825242718</v>
      </c>
      <c r="S56" s="21">
        <v>61903.6938</v>
      </c>
      <c r="T56" s="21">
        <v>22962.56676</v>
      </c>
      <c r="U56" s="21">
        <v>18994.38126</v>
      </c>
      <c r="V56" s="21">
        <v>22168.92966</v>
      </c>
      <c r="W56" s="21">
        <v>634.90968</v>
      </c>
      <c r="X56" s="21">
        <v>811.27348</v>
      </c>
      <c r="Y56" s="21">
        <v>511.45501999999993</v>
      </c>
      <c r="Z56" s="21">
        <v>723.0915799999999</v>
      </c>
      <c r="AA56" s="21">
        <v>47653.498759999995</v>
      </c>
    </row>
    <row r="57">
      <c r="A57" s="1">
        <v>2025.0</v>
      </c>
      <c r="B57" s="1" t="s">
        <v>15</v>
      </c>
      <c r="C57" s="10">
        <v>801700.0</v>
      </c>
      <c r="D57" s="10">
        <v>0.86</v>
      </c>
      <c r="E57" s="11">
        <v>16583.69</v>
      </c>
      <c r="F57" s="4">
        <v>323.8604</v>
      </c>
      <c r="G57" s="4">
        <v>118209.0</v>
      </c>
      <c r="H57" s="4">
        <v>81412.74</v>
      </c>
      <c r="I57" s="4">
        <v>68.87</v>
      </c>
      <c r="J57" s="4">
        <v>0.0</v>
      </c>
      <c r="K57" s="4">
        <v>56267.89</v>
      </c>
      <c r="L57" s="21">
        <v>231.64474379445494</v>
      </c>
      <c r="M57" s="21">
        <v>4.156528668892437</v>
      </c>
      <c r="N57" s="21">
        <v>15.878873566555377</v>
      </c>
      <c r="O57" s="21">
        <v>48.243754100740304</v>
      </c>
      <c r="P57" s="21">
        <v>9.620729278560022</v>
      </c>
      <c r="Q57" s="21">
        <v>4.156528668892437</v>
      </c>
      <c r="R57" s="21">
        <v>8.032841921904485</v>
      </c>
      <c r="S57" s="21">
        <v>25283.303369999998</v>
      </c>
      <c r="T57" s="21">
        <v>29557.86093</v>
      </c>
      <c r="U57" s="21">
        <v>8161.58655</v>
      </c>
      <c r="V57" s="21">
        <v>21349.30122</v>
      </c>
      <c r="W57" s="21">
        <v>516.70476</v>
      </c>
      <c r="X57" s="21">
        <v>3628.6766099999995</v>
      </c>
      <c r="Y57" s="21">
        <v>3358.58094</v>
      </c>
      <c r="Z57" s="21">
        <v>939.4632</v>
      </c>
      <c r="AA57" s="21">
        <v>24637.422420000003</v>
      </c>
    </row>
    <row r="58">
      <c r="A58" s="1">
        <v>2025.0</v>
      </c>
      <c r="B58" s="1" t="s">
        <v>22</v>
      </c>
      <c r="C58" s="10">
        <v>931100.0</v>
      </c>
      <c r="D58" s="10">
        <v>1.22</v>
      </c>
      <c r="E58" s="11">
        <v>16924.73</v>
      </c>
      <c r="F58" s="4">
        <v>368.2024</v>
      </c>
      <c r="G58" s="4">
        <v>134393.9</v>
      </c>
      <c r="H58" s="4">
        <v>69123.96</v>
      </c>
      <c r="I58" s="4">
        <v>51.43</v>
      </c>
      <c r="J58" s="4">
        <v>6900.69</v>
      </c>
      <c r="K58" s="4">
        <v>16218.33</v>
      </c>
      <c r="L58" s="21">
        <v>282.77440141662566</v>
      </c>
      <c r="M58" s="21">
        <v>2.25961790457452</v>
      </c>
      <c r="N58" s="21">
        <v>8.94898180029513</v>
      </c>
      <c r="O58" s="21">
        <v>33.19177349729463</v>
      </c>
      <c r="P58" s="21">
        <v>5.369389080177077</v>
      </c>
      <c r="Q58" s="21">
        <v>26.84694540088539</v>
      </c>
      <c r="R58" s="21">
        <v>4.474490900147565</v>
      </c>
      <c r="S58" s="21">
        <v>94694.1717</v>
      </c>
      <c r="T58" s="21">
        <v>3054.6506999999997</v>
      </c>
      <c r="U58" s="21">
        <v>3320.2725</v>
      </c>
      <c r="V58" s="21">
        <v>17398.227899999998</v>
      </c>
      <c r="W58" s="21">
        <v>265.6218</v>
      </c>
      <c r="X58" s="21">
        <v>1992.1634999999997</v>
      </c>
      <c r="Y58" s="21">
        <v>531.2436</v>
      </c>
      <c r="Z58" s="21">
        <v>664.0545</v>
      </c>
      <c r="AA58" s="21">
        <v>10890.493799999998</v>
      </c>
    </row>
    <row r="59">
      <c r="A59" s="1">
        <v>2025.0</v>
      </c>
      <c r="B59" s="1" t="s">
        <v>26</v>
      </c>
      <c r="C59" s="10">
        <v>1352000.0</v>
      </c>
      <c r="D59" s="10">
        <v>0.83</v>
      </c>
      <c r="E59" s="11">
        <v>29160.54</v>
      </c>
      <c r="F59" s="4">
        <v>672.831</v>
      </c>
      <c r="G59" s="4">
        <v>245583.3</v>
      </c>
      <c r="H59" s="4">
        <v>151080.6</v>
      </c>
      <c r="I59" s="4">
        <v>61.52</v>
      </c>
      <c r="J59" s="4">
        <v>69102.96</v>
      </c>
      <c r="K59" s="4">
        <v>46798.93</v>
      </c>
      <c r="L59" s="21">
        <v>522.1525774</v>
      </c>
      <c r="M59" s="21">
        <v>13.313797799999998</v>
      </c>
      <c r="N59" s="21">
        <v>38.3516862</v>
      </c>
      <c r="O59" s="21">
        <v>50.936868200000006</v>
      </c>
      <c r="P59" s="21">
        <v>13.0488466</v>
      </c>
      <c r="Q59" s="21">
        <v>6.3588287999999995</v>
      </c>
      <c r="R59" s="21">
        <v>18.215395</v>
      </c>
      <c r="S59" s="21">
        <v>109786.84879999999</v>
      </c>
      <c r="T59" s="21">
        <v>16222.6328</v>
      </c>
      <c r="U59" s="21">
        <v>10710.3224</v>
      </c>
      <c r="V59" s="21">
        <v>60127.7016</v>
      </c>
      <c r="W59" s="21">
        <v>1474.7848000000001</v>
      </c>
      <c r="X59" s="21">
        <v>5198.012</v>
      </c>
      <c r="Y59" s="21">
        <v>1644.0224000000003</v>
      </c>
      <c r="Z59" s="21">
        <v>3191.3376000000003</v>
      </c>
      <c r="AA59" s="21">
        <v>33412.3376</v>
      </c>
    </row>
    <row r="60">
      <c r="A60" s="1">
        <v>2025.0</v>
      </c>
      <c r="B60" s="1" t="s">
        <v>29</v>
      </c>
      <c r="C60" s="10">
        <v>1109300.0</v>
      </c>
      <c r="D60" s="10">
        <v>0.91</v>
      </c>
      <c r="E60" s="11">
        <v>28890.03</v>
      </c>
      <c r="F60" s="4">
        <v>301.62</v>
      </c>
      <c r="G60" s="4">
        <v>110091.3</v>
      </c>
      <c r="H60" s="4">
        <v>71872.9</v>
      </c>
      <c r="I60" s="4">
        <v>65.28</v>
      </c>
      <c r="J60" s="4">
        <v>539.6635</v>
      </c>
      <c r="K60" s="4">
        <v>28554.51</v>
      </c>
      <c r="L60" s="21">
        <v>97.93970656265189</v>
      </c>
      <c r="M60" s="21">
        <v>31.939997786194304</v>
      </c>
      <c r="N60" s="21">
        <v>57.97863439861911</v>
      </c>
      <c r="O60" s="21">
        <v>65.2931377084346</v>
      </c>
      <c r="P60" s="21">
        <v>27.42689948551223</v>
      </c>
      <c r="Q60" s="21">
        <v>4.443436364398117</v>
      </c>
      <c r="R60" s="21">
        <v>11.89228769418981</v>
      </c>
      <c r="S60" s="21">
        <v>30024.933584999995</v>
      </c>
      <c r="T60" s="21">
        <v>26020.52537</v>
      </c>
      <c r="U60" s="21">
        <v>12966.913204999999</v>
      </c>
      <c r="V60" s="21">
        <v>23885.563479999997</v>
      </c>
      <c r="W60" s="21">
        <v>10279.245445</v>
      </c>
      <c r="X60" s="21">
        <v>2378.802715</v>
      </c>
      <c r="Y60" s="21">
        <v>953.68856</v>
      </c>
      <c r="Z60" s="21">
        <v>525.612445</v>
      </c>
      <c r="AA60" s="21">
        <v>1338.415195</v>
      </c>
    </row>
    <row r="61">
      <c r="A61" s="1">
        <v>2025.0</v>
      </c>
      <c r="B61" s="1" t="s">
        <v>31</v>
      </c>
      <c r="C61" s="10">
        <v>1300900.0</v>
      </c>
      <c r="D61" s="10">
        <v>0.67</v>
      </c>
      <c r="E61" s="11">
        <v>35131.44</v>
      </c>
      <c r="F61" s="4">
        <v>655.7591</v>
      </c>
      <c r="G61" s="4">
        <v>239352.1</v>
      </c>
      <c r="H61" s="4">
        <v>65606.82</v>
      </c>
      <c r="I61" s="4">
        <v>27.41</v>
      </c>
      <c r="J61" s="4">
        <v>0.0</v>
      </c>
      <c r="K61" s="4">
        <v>65606.82</v>
      </c>
      <c r="L61" s="21">
        <v>584.9006844639173</v>
      </c>
      <c r="M61" s="21">
        <v>18.19801309320631</v>
      </c>
      <c r="N61" s="21">
        <v>3.6396026186412618</v>
      </c>
      <c r="O61" s="21">
        <v>5.624840410627404</v>
      </c>
      <c r="P61" s="21">
        <v>16.543648266551187</v>
      </c>
      <c r="Q61" s="21">
        <v>9.959276256463816</v>
      </c>
      <c r="R61" s="21">
        <v>10.587934890592763</v>
      </c>
      <c r="S61" s="21">
        <v>142230.42</v>
      </c>
      <c r="T61" s="21">
        <v>11852.535</v>
      </c>
      <c r="U61" s="21">
        <v>11852.535</v>
      </c>
      <c r="V61" s="21">
        <v>47410.14</v>
      </c>
      <c r="W61" s="21">
        <v>1185.2535</v>
      </c>
      <c r="X61" s="21">
        <v>11852.535</v>
      </c>
      <c r="Y61" s="21">
        <v>7111.521000000001</v>
      </c>
      <c r="Z61" s="21">
        <v>1185.2535</v>
      </c>
      <c r="AA61" s="21">
        <v>2370.507</v>
      </c>
    </row>
    <row r="62">
      <c r="A62" s="1">
        <v>2025.0</v>
      </c>
      <c r="B62" s="1" t="s">
        <v>32</v>
      </c>
      <c r="C62" s="10">
        <v>950400.0</v>
      </c>
      <c r="D62" s="10">
        <v>0.98</v>
      </c>
      <c r="E62" s="11">
        <v>33951.06</v>
      </c>
      <c r="F62" s="4">
        <v>367.444</v>
      </c>
      <c r="G62" s="4">
        <v>134117.1</v>
      </c>
      <c r="H62" s="4">
        <v>19710.81</v>
      </c>
      <c r="I62" s="4">
        <v>14.7</v>
      </c>
      <c r="J62" s="4">
        <v>573.8793</v>
      </c>
      <c r="K62" s="4">
        <v>19009.3</v>
      </c>
      <c r="L62" s="21">
        <v>239.80699918354014</v>
      </c>
      <c r="M62" s="21">
        <v>30.183067112998035</v>
      </c>
      <c r="N62" s="21">
        <v>25.43873758981058</v>
      </c>
      <c r="O62" s="21">
        <v>16.94261610058785</v>
      </c>
      <c r="P62" s="21">
        <v>28.019335238406267</v>
      </c>
      <c r="Q62" s="21">
        <v>7.434106303069887</v>
      </c>
      <c r="R62" s="21">
        <v>16.873138471587193</v>
      </c>
      <c r="S62" s="21">
        <v>69552.483</v>
      </c>
      <c r="T62" s="21">
        <v>559.0821599999999</v>
      </c>
      <c r="U62" s="21">
        <v>17171.8092</v>
      </c>
      <c r="V62" s="21">
        <v>31814.437199999997</v>
      </c>
      <c r="W62" s="21">
        <v>1211.34468</v>
      </c>
      <c r="X62" s="21">
        <v>1717.18092</v>
      </c>
      <c r="Y62" s="21">
        <v>772.0658399999999</v>
      </c>
      <c r="Z62" s="21">
        <v>1371.0824400000001</v>
      </c>
      <c r="AA62" s="21">
        <v>8945.314559999999</v>
      </c>
    </row>
    <row r="63">
      <c r="A63" s="1">
        <v>2025.0</v>
      </c>
      <c r="B63" s="1" t="s">
        <v>33</v>
      </c>
      <c r="C63" s="10">
        <v>1057100.0</v>
      </c>
      <c r="D63" s="10">
        <v>0.28</v>
      </c>
      <c r="E63" s="11">
        <v>26141.91</v>
      </c>
      <c r="F63" s="4">
        <v>349.5643</v>
      </c>
      <c r="G63" s="4">
        <v>127591.0</v>
      </c>
      <c r="H63" s="4">
        <v>51066.27</v>
      </c>
      <c r="I63" s="4">
        <v>40.02</v>
      </c>
      <c r="J63" s="4">
        <v>45040.27</v>
      </c>
      <c r="K63" s="4">
        <v>6024.793</v>
      </c>
      <c r="L63" s="21">
        <v>157.80699</v>
      </c>
      <c r="M63" s="21">
        <v>52.60233</v>
      </c>
      <c r="N63" s="21">
        <v>14.031314202066591</v>
      </c>
      <c r="O63" s="21">
        <v>87.67055</v>
      </c>
      <c r="P63" s="21">
        <v>21.03690579793341</v>
      </c>
      <c r="Q63" s="21">
        <v>7.0156571010332955</v>
      </c>
      <c r="R63" s="21">
        <v>10.518452898966705</v>
      </c>
      <c r="S63" s="21">
        <v>67839.47</v>
      </c>
      <c r="T63" s="21">
        <v>15359.88</v>
      </c>
      <c r="U63" s="21">
        <v>20479.84</v>
      </c>
      <c r="V63" s="21">
        <v>14079.89</v>
      </c>
      <c r="W63" s="21">
        <v>1279.99</v>
      </c>
      <c r="X63" s="21">
        <v>3839.97</v>
      </c>
      <c r="Y63" s="21">
        <v>1279.99</v>
      </c>
      <c r="Z63" s="21">
        <v>1279.99</v>
      </c>
      <c r="AA63" s="21">
        <v>2559.98</v>
      </c>
    </row>
    <row r="64">
      <c r="A64" s="1">
        <v>2025.0</v>
      </c>
      <c r="B64" s="1" t="s">
        <v>34</v>
      </c>
      <c r="C64" s="10">
        <v>968500.0</v>
      </c>
      <c r="D64" s="10">
        <v>0.81</v>
      </c>
      <c r="E64" s="11">
        <v>33709.11</v>
      </c>
      <c r="F64" s="4">
        <v>480.9545</v>
      </c>
      <c r="G64" s="4">
        <v>175548.4</v>
      </c>
      <c r="H64" s="4">
        <v>56429.25</v>
      </c>
      <c r="I64" s="4">
        <v>32.14</v>
      </c>
      <c r="J64" s="4">
        <v>0.0</v>
      </c>
      <c r="K64" s="4">
        <v>447.3018</v>
      </c>
      <c r="L64" s="21">
        <v>287.2744831906261</v>
      </c>
      <c r="M64" s="21">
        <v>13.248445895928587</v>
      </c>
      <c r="N64" s="21">
        <v>13.44115056350573</v>
      </c>
      <c r="O64" s="21">
        <v>32.88023390535004</v>
      </c>
      <c r="P64" s="21">
        <v>12.044041723571443</v>
      </c>
      <c r="Q64" s="21">
        <v>7.250513117590007</v>
      </c>
      <c r="R64" s="21">
        <v>14.174331603428143</v>
      </c>
      <c r="S64" s="21">
        <v>87453.00899999999</v>
      </c>
      <c r="T64" s="21">
        <v>3470.3575</v>
      </c>
      <c r="U64" s="21">
        <v>6940.715</v>
      </c>
      <c r="V64" s="21">
        <v>26374.716999999997</v>
      </c>
      <c r="W64" s="21">
        <v>2776.2859999999996</v>
      </c>
      <c r="X64" s="21">
        <v>2776.2859999999996</v>
      </c>
      <c r="Y64" s="21">
        <v>2082.2145</v>
      </c>
      <c r="Z64" s="21">
        <v>4164.429</v>
      </c>
      <c r="AA64" s="21">
        <v>2776.2859999999996</v>
      </c>
    </row>
    <row r="65">
      <c r="A65" s="1">
        <v>2025.0</v>
      </c>
      <c r="B65" s="1" t="s">
        <v>35</v>
      </c>
      <c r="C65" s="10">
        <v>1011800.0</v>
      </c>
      <c r="D65" s="10">
        <v>0.74</v>
      </c>
      <c r="E65" s="11">
        <v>33921.43</v>
      </c>
      <c r="F65" s="4">
        <v>402.9092</v>
      </c>
      <c r="G65" s="4">
        <v>147061.8</v>
      </c>
      <c r="H65" s="4">
        <v>92906.64</v>
      </c>
      <c r="I65" s="4">
        <v>63.18</v>
      </c>
      <c r="J65" s="4">
        <v>73.0</v>
      </c>
      <c r="K65" s="4">
        <v>21657.33</v>
      </c>
      <c r="L65" s="21">
        <v>187.35958798331436</v>
      </c>
      <c r="M65" s="21">
        <v>40.00920854888428</v>
      </c>
      <c r="N65" s="21">
        <v>49.88808704013939</v>
      </c>
      <c r="O65" s="21">
        <v>147.99866525162503</v>
      </c>
      <c r="P65" s="21">
        <v>102.39923823292906</v>
      </c>
      <c r="Q65" s="21">
        <v>3.750084111773772</v>
      </c>
      <c r="R65" s="21">
        <v>63.9409288313342</v>
      </c>
      <c r="S65" s="21">
        <v>106868.73016</v>
      </c>
      <c r="T65" s="21">
        <v>37028.12448</v>
      </c>
      <c r="U65" s="21">
        <v>17883.88876</v>
      </c>
      <c r="V65" s="21">
        <v>35767.77752</v>
      </c>
      <c r="W65" s="21">
        <v>1129.9662400000002</v>
      </c>
      <c r="X65" s="21">
        <v>1955.7108</v>
      </c>
      <c r="Y65" s="21">
        <v>825.7445600000001</v>
      </c>
      <c r="Z65" s="21">
        <v>1129.9662400000002</v>
      </c>
      <c r="AA65" s="21">
        <v>14711.29124</v>
      </c>
    </row>
    <row r="66">
      <c r="A66" s="1">
        <v>2025.0</v>
      </c>
      <c r="B66" s="1" t="s">
        <v>36</v>
      </c>
      <c r="C66" s="10">
        <v>1381900.0</v>
      </c>
      <c r="D66" s="10">
        <v>0.9</v>
      </c>
      <c r="E66" s="11">
        <v>39038.28</v>
      </c>
      <c r="F66" s="4">
        <v>690.956</v>
      </c>
      <c r="G66" s="4">
        <v>252198.9</v>
      </c>
      <c r="H66" s="4">
        <v>39216.59</v>
      </c>
      <c r="I66" s="4">
        <v>15.55</v>
      </c>
      <c r="J66" s="4">
        <v>113.15</v>
      </c>
      <c r="K66" s="4">
        <v>39100.72</v>
      </c>
      <c r="L66" s="21">
        <v>519.9859166956119</v>
      </c>
      <c r="M66" s="21">
        <v>20.509515746208173</v>
      </c>
      <c r="N66" s="21">
        <v>24.890189012388557</v>
      </c>
      <c r="O66" s="21">
        <v>27.180086401528307</v>
      </c>
      <c r="P66" s="21">
        <v>19.01610440546486</v>
      </c>
      <c r="Q66" s="21">
        <v>18.000584693759404</v>
      </c>
      <c r="R66" s="21">
        <v>58.34260304503878</v>
      </c>
      <c r="S66" s="21">
        <v>103173.94934</v>
      </c>
      <c r="T66" s="21">
        <v>32466.27318</v>
      </c>
      <c r="U66" s="21">
        <v>21995.71176</v>
      </c>
      <c r="V66" s="21">
        <v>44744.70132</v>
      </c>
      <c r="W66" s="21">
        <v>6026.2224</v>
      </c>
      <c r="X66" s="21">
        <v>5222.72608</v>
      </c>
      <c r="Y66" s="21">
        <v>2460.70748</v>
      </c>
      <c r="Z66" s="21">
        <v>8813.35026</v>
      </c>
      <c r="AA66" s="21">
        <v>26188.95818</v>
      </c>
    </row>
    <row r="67">
      <c r="A67" s="1">
        <v>2025.0</v>
      </c>
      <c r="B67" s="1" t="s">
        <v>37</v>
      </c>
      <c r="C67" s="10">
        <v>891700.0</v>
      </c>
      <c r="D67" s="10">
        <v>1.03</v>
      </c>
      <c r="E67" s="11">
        <v>75783.15</v>
      </c>
      <c r="F67" s="4">
        <v>440.429</v>
      </c>
      <c r="G67" s="4">
        <v>160756.6</v>
      </c>
      <c r="H67" s="4">
        <v>47413.26</v>
      </c>
      <c r="I67" s="4">
        <v>29.49</v>
      </c>
      <c r="J67" s="4">
        <v>1511.078</v>
      </c>
      <c r="K67" s="4">
        <v>44934.93</v>
      </c>
      <c r="L67" s="21">
        <v>238.0853885656695</v>
      </c>
      <c r="M67" s="21">
        <v>14.912777566539921</v>
      </c>
      <c r="N67" s="21">
        <v>25.90271605433139</v>
      </c>
      <c r="O67" s="21">
        <v>90.39498905126207</v>
      </c>
      <c r="P67" s="21">
        <v>30.793787679234047</v>
      </c>
      <c r="Q67" s="21">
        <v>20.90184486233909</v>
      </c>
      <c r="R67" s="21">
        <v>14.79299622062394</v>
      </c>
      <c r="S67" s="21">
        <v>47956.981949999994</v>
      </c>
      <c r="T67" s="21">
        <v>33227.90557</v>
      </c>
      <c r="U67" s="21">
        <v>23191.137539999996</v>
      </c>
      <c r="V67" s="21">
        <v>20709.781259999996</v>
      </c>
      <c r="W67" s="21">
        <v>8334.812119999999</v>
      </c>
      <c r="X67" s="21">
        <v>8637.02859</v>
      </c>
      <c r="Y67" s="21">
        <v>5758.01906</v>
      </c>
      <c r="Z67" s="21">
        <v>9177.83701</v>
      </c>
      <c r="AA67" s="21">
        <v>2067.7969</v>
      </c>
    </row>
    <row r="68">
      <c r="A68" s="1">
        <v>2025.0</v>
      </c>
      <c r="B68" s="1" t="s">
        <v>38</v>
      </c>
      <c r="C68" s="10">
        <v>1244300.0</v>
      </c>
      <c r="D68" s="10">
        <v>1.03</v>
      </c>
      <c r="E68" s="11">
        <v>26869.08</v>
      </c>
      <c r="F68" s="4">
        <v>460.5077</v>
      </c>
      <c r="G68" s="4">
        <v>168085.3</v>
      </c>
      <c r="H68" s="4">
        <v>92041.02</v>
      </c>
      <c r="I68" s="4">
        <v>54.76</v>
      </c>
      <c r="J68" s="4">
        <v>0.0</v>
      </c>
      <c r="K68" s="4">
        <v>28129.21</v>
      </c>
      <c r="L68" s="21">
        <v>391.19226292066526</v>
      </c>
      <c r="M68" s="21">
        <v>3.3836025185635505</v>
      </c>
      <c r="N68" s="21">
        <v>1.7745524078336012</v>
      </c>
      <c r="O68" s="21">
        <v>8.468200868470191</v>
      </c>
      <c r="P68" s="21">
        <v>1.0114029267445397</v>
      </c>
      <c r="Q68" s="21">
        <v>11.677106517868774</v>
      </c>
      <c r="R68" s="21">
        <v>5.9764718398540975</v>
      </c>
      <c r="S68" s="21">
        <v>82402.06665</v>
      </c>
      <c r="T68" s="21">
        <v>1483.8863999999999</v>
      </c>
      <c r="U68" s="21">
        <v>13586.83485</v>
      </c>
      <c r="V68" s="21">
        <v>36107.9024</v>
      </c>
      <c r="W68" s="21">
        <v>1066.54335</v>
      </c>
      <c r="X68" s="21">
        <v>3771.5445999999997</v>
      </c>
      <c r="Y68" s="21">
        <v>1452.9721</v>
      </c>
      <c r="Z68" s="21">
        <v>1793.0293999999997</v>
      </c>
      <c r="AA68" s="21">
        <v>12906.720249999998</v>
      </c>
    </row>
    <row r="69">
      <c r="A69" s="1">
        <v>2025.0</v>
      </c>
      <c r="B69" s="1" t="s">
        <v>39</v>
      </c>
      <c r="C69" s="10">
        <v>1265100.0</v>
      </c>
      <c r="D69" s="10">
        <v>1.05</v>
      </c>
      <c r="E69" s="11">
        <v>23439.71</v>
      </c>
      <c r="F69" s="4">
        <v>632.612</v>
      </c>
      <c r="G69" s="4">
        <v>230903.4</v>
      </c>
      <c r="H69" s="4">
        <v>8438.494</v>
      </c>
      <c r="I69" s="4">
        <v>3.65</v>
      </c>
      <c r="J69" s="4">
        <v>3832.5</v>
      </c>
      <c r="K69" s="4">
        <v>4605.994</v>
      </c>
      <c r="L69" s="21">
        <v>574.5819238583013</v>
      </c>
      <c r="M69" s="21">
        <v>15.128514895433204</v>
      </c>
      <c r="N69" s="21">
        <v>43.07682193768673</v>
      </c>
      <c r="O69" s="21">
        <v>57.3932233034571</v>
      </c>
      <c r="P69" s="21">
        <v>15.279335979513444</v>
      </c>
      <c r="Q69" s="21">
        <v>5.986436875800257</v>
      </c>
      <c r="R69" s="21">
        <v>22.48394314980794</v>
      </c>
      <c r="S69" s="21">
        <v>106323.35805</v>
      </c>
      <c r="T69" s="21">
        <v>34557.1005</v>
      </c>
      <c r="U69" s="21">
        <v>32360.447600000003</v>
      </c>
      <c r="V69" s="21">
        <v>47924.53705</v>
      </c>
      <c r="W69" s="21">
        <v>8733.0347</v>
      </c>
      <c r="X69" s="21">
        <v>6670.32405</v>
      </c>
      <c r="Y69" s="21">
        <v>4687.97875</v>
      </c>
      <c r="Z69" s="21">
        <v>6322.074199999999</v>
      </c>
      <c r="AA69" s="21">
        <v>20305.6451</v>
      </c>
    </row>
    <row r="70">
      <c r="A70" s="1">
        <v>2025.0</v>
      </c>
      <c r="B70" s="1" t="s">
        <v>40</v>
      </c>
      <c r="C70" s="10">
        <v>1098600.0</v>
      </c>
      <c r="D70" s="10">
        <v>0.89</v>
      </c>
      <c r="E70" s="11">
        <v>43880.58</v>
      </c>
      <c r="F70" s="4">
        <v>544.3645</v>
      </c>
      <c r="G70" s="4">
        <v>198693.0</v>
      </c>
      <c r="H70" s="4">
        <v>28924.52</v>
      </c>
      <c r="I70" s="4">
        <v>14.56</v>
      </c>
      <c r="J70" s="4">
        <v>5614.675</v>
      </c>
      <c r="K70" s="4">
        <v>23309.84</v>
      </c>
      <c r="L70" s="21">
        <v>377.3254779411765</v>
      </c>
      <c r="M70" s="21">
        <v>9.800661764705882</v>
      </c>
      <c r="N70" s="21">
        <v>9.800661764705882</v>
      </c>
      <c r="O70" s="21">
        <v>83.30562499999999</v>
      </c>
      <c r="P70" s="21">
        <v>9.800661764705882</v>
      </c>
      <c r="Q70" s="21">
        <v>19.601323529411765</v>
      </c>
      <c r="R70" s="21">
        <v>23.521588235294118</v>
      </c>
      <c r="S70" s="21">
        <v>139257.11964</v>
      </c>
      <c r="T70" s="21">
        <v>3074.71002</v>
      </c>
      <c r="U70" s="21">
        <v>8270.58075</v>
      </c>
      <c r="V70" s="21">
        <v>36040.27187999999</v>
      </c>
      <c r="W70" s="21">
        <v>525.42513</v>
      </c>
      <c r="X70" s="21">
        <v>350.28342</v>
      </c>
      <c r="Y70" s="21">
        <v>1946.019</v>
      </c>
      <c r="Z70" s="21">
        <v>739.48722</v>
      </c>
      <c r="AA70" s="21">
        <v>4398.002939999999</v>
      </c>
    </row>
    <row r="71">
      <c r="A71" s="1">
        <v>2025.0</v>
      </c>
      <c r="B71" s="1" t="s">
        <v>41</v>
      </c>
      <c r="C71" s="10">
        <v>821100.0</v>
      </c>
      <c r="D71" s="10">
        <v>0.81</v>
      </c>
      <c r="E71" s="11">
        <v>18863.34</v>
      </c>
      <c r="F71" s="4">
        <v>411.44</v>
      </c>
      <c r="G71" s="4">
        <v>150175.6</v>
      </c>
      <c r="H71" s="4">
        <v>50812.81</v>
      </c>
      <c r="I71" s="4">
        <v>33.84</v>
      </c>
      <c r="J71" s="4">
        <v>25056.8</v>
      </c>
      <c r="K71" s="4">
        <v>21512.81</v>
      </c>
      <c r="L71" s="21">
        <v>274.17174799368394</v>
      </c>
      <c r="M71" s="21">
        <v>10.57224902567257</v>
      </c>
      <c r="N71" s="21">
        <v>10.658202269783729</v>
      </c>
      <c r="O71" s="21">
        <v>12.682878686624361</v>
      </c>
      <c r="P71" s="21">
        <v>46.080489204038074</v>
      </c>
      <c r="Q71" s="21">
        <v>38.48795264088568</v>
      </c>
      <c r="R71" s="21">
        <v>11.066480179311734</v>
      </c>
      <c r="S71" s="21">
        <v>46005.10516</v>
      </c>
      <c r="T71" s="21">
        <v>22737.308539999998</v>
      </c>
      <c r="U71" s="21">
        <v>11862.3029</v>
      </c>
      <c r="V71" s="21">
        <v>28602.148979999994</v>
      </c>
      <c r="W71" s="21">
        <v>11243.40014</v>
      </c>
      <c r="X71" s="21">
        <v>2711.3835200000003</v>
      </c>
      <c r="Y71" s="21">
        <v>3020.8348999999994</v>
      </c>
      <c r="Z71" s="21">
        <v>3300.8147200000003</v>
      </c>
      <c r="AA71" s="21">
        <v>17874.50114</v>
      </c>
    </row>
    <row r="72">
      <c r="A72" s="1">
        <v>2025.0</v>
      </c>
      <c r="B72" s="1" t="s">
        <v>42</v>
      </c>
      <c r="C72" s="10">
        <v>1076500.0</v>
      </c>
      <c r="D72" s="10">
        <v>1.17</v>
      </c>
      <c r="E72" s="11">
        <v>40192.08</v>
      </c>
      <c r="F72" s="4">
        <v>436.662</v>
      </c>
      <c r="G72" s="4">
        <v>159381.6</v>
      </c>
      <c r="H72" s="4">
        <v>14939.51</v>
      </c>
      <c r="I72" s="4">
        <v>9.37</v>
      </c>
      <c r="J72" s="4">
        <v>408.8168</v>
      </c>
      <c r="K72" s="4">
        <v>14530.69</v>
      </c>
      <c r="L72" s="21">
        <v>252.82000000000002</v>
      </c>
      <c r="M72" s="21">
        <v>19.310000000000002</v>
      </c>
      <c r="N72" s="21">
        <v>25.460000000000004</v>
      </c>
      <c r="O72" s="21">
        <v>63.20000000000002</v>
      </c>
      <c r="P72" s="21">
        <v>42.14000000000001</v>
      </c>
      <c r="Q72" s="21">
        <v>2.2000000000000006</v>
      </c>
      <c r="R72" s="21">
        <v>16.23</v>
      </c>
      <c r="S72" s="21">
        <v>47077.07803999999</v>
      </c>
      <c r="T72" s="21">
        <v>23192.49712</v>
      </c>
      <c r="U72" s="21">
        <v>14595.278359999998</v>
      </c>
      <c r="V72" s="21">
        <v>35403.93128</v>
      </c>
      <c r="W72" s="21">
        <v>446.00955999999996</v>
      </c>
      <c r="X72" s="21">
        <v>12303.712</v>
      </c>
      <c r="Y72" s="21">
        <v>1645.6214800000002</v>
      </c>
      <c r="Z72" s="21">
        <v>1338.02868</v>
      </c>
      <c r="AA72" s="21">
        <v>17794.24348</v>
      </c>
    </row>
    <row r="73">
      <c r="A73" s="1">
        <v>2025.0</v>
      </c>
      <c r="B73" s="1" t="s">
        <v>43</v>
      </c>
      <c r="C73" s="10">
        <v>1030300.0</v>
      </c>
      <c r="D73" s="10">
        <v>1.3</v>
      </c>
      <c r="E73" s="11">
        <v>20425.92</v>
      </c>
      <c r="F73" s="4">
        <v>407.6024</v>
      </c>
      <c r="G73" s="4">
        <v>148774.9</v>
      </c>
      <c r="H73" s="4">
        <v>43183.1</v>
      </c>
      <c r="I73" s="4">
        <v>29.03</v>
      </c>
      <c r="J73" s="4">
        <v>97.6061</v>
      </c>
      <c r="K73" s="4">
        <v>41348.46</v>
      </c>
      <c r="L73" s="21">
        <v>251.74447767419036</v>
      </c>
      <c r="M73" s="21">
        <v>16.970123797841023</v>
      </c>
      <c r="N73" s="21">
        <v>21.307040775269872</v>
      </c>
      <c r="O73" s="21">
        <v>47.744809224730126</v>
      </c>
      <c r="P73" s="21">
        <v>33.146436898920506</v>
      </c>
      <c r="Q73" s="21">
        <v>4.336916977428852</v>
      </c>
      <c r="R73" s="21">
        <v>19.332194651619233</v>
      </c>
      <c r="S73" s="21">
        <v>46231.1904</v>
      </c>
      <c r="T73" s="21">
        <v>20163.136</v>
      </c>
      <c r="U73" s="21">
        <v>13538.1056</v>
      </c>
      <c r="V73" s="21">
        <v>40614.3168</v>
      </c>
      <c r="W73" s="21">
        <v>3312.5152</v>
      </c>
      <c r="X73" s="21">
        <v>3168.4928000000004</v>
      </c>
      <c r="Y73" s="21">
        <v>2304.3584</v>
      </c>
      <c r="Z73" s="21">
        <v>1728.2687999999998</v>
      </c>
      <c r="AA73" s="21">
        <v>12962.015999999998</v>
      </c>
    </row>
    <row r="74">
      <c r="A74" s="1">
        <v>2025.0</v>
      </c>
      <c r="B74" s="1" t="s">
        <v>44</v>
      </c>
      <c r="C74" s="10">
        <v>1559300.0</v>
      </c>
      <c r="D74" s="10">
        <v>1.23</v>
      </c>
      <c r="E74" s="11">
        <v>23052.08</v>
      </c>
      <c r="F74" s="4">
        <v>472.3228</v>
      </c>
      <c r="G74" s="4">
        <v>172397.8</v>
      </c>
      <c r="H74" s="4">
        <v>70446.5</v>
      </c>
      <c r="I74" s="4">
        <v>40.86</v>
      </c>
      <c r="J74" s="4">
        <v>2503.9</v>
      </c>
      <c r="K74" s="4">
        <v>67942.6</v>
      </c>
      <c r="L74" s="21">
        <v>216.108576</v>
      </c>
      <c r="M74" s="21">
        <v>66.033176</v>
      </c>
      <c r="N74" s="21">
        <v>48.024128000000005</v>
      </c>
      <c r="O74" s="21">
        <v>144.072384</v>
      </c>
      <c r="P74" s="21">
        <v>42.021112</v>
      </c>
      <c r="Q74" s="21">
        <v>12.006032000000001</v>
      </c>
      <c r="R74" s="21">
        <v>72.036192</v>
      </c>
      <c r="S74" s="21">
        <v>42726.4695</v>
      </c>
      <c r="T74" s="21">
        <v>40535.368500000004</v>
      </c>
      <c r="U74" s="21">
        <v>31770.964500000002</v>
      </c>
      <c r="V74" s="21">
        <v>38344.2675</v>
      </c>
      <c r="W74" s="21">
        <v>26293.212000000003</v>
      </c>
      <c r="X74" s="21">
        <v>8764.404</v>
      </c>
      <c r="Y74" s="21">
        <v>15337.707</v>
      </c>
      <c r="Z74" s="21">
        <v>10955.505</v>
      </c>
      <c r="AA74" s="21">
        <v>4382.202</v>
      </c>
    </row>
    <row r="75">
      <c r="A75" s="1">
        <v>2025.0</v>
      </c>
      <c r="B75" s="1" t="s">
        <v>45</v>
      </c>
      <c r="C75" s="10">
        <v>1694200.0</v>
      </c>
      <c r="D75" s="10">
        <v>1.25</v>
      </c>
      <c r="E75" s="11">
        <v>31211.27</v>
      </c>
      <c r="F75" s="4">
        <v>702.9956</v>
      </c>
      <c r="G75" s="4">
        <v>256593.4</v>
      </c>
      <c r="H75" s="4">
        <v>39321.74</v>
      </c>
      <c r="I75" s="4">
        <v>15.32</v>
      </c>
      <c r="J75" s="4">
        <v>0.0</v>
      </c>
      <c r="K75" s="4">
        <v>39321.74</v>
      </c>
      <c r="L75" s="21">
        <v>433.3279662899923</v>
      </c>
      <c r="M75" s="21">
        <v>24.25199129558073</v>
      </c>
      <c r="N75" s="21">
        <v>25.828370729793477</v>
      </c>
      <c r="O75" s="21">
        <v>59.41737867417279</v>
      </c>
      <c r="P75" s="21">
        <v>22.0472648141643</v>
      </c>
      <c r="Q75" s="21">
        <v>13.272453418126908</v>
      </c>
      <c r="R75" s="21">
        <v>25.946874778169615</v>
      </c>
      <c r="S75" s="21">
        <v>115847.38997999999</v>
      </c>
      <c r="T75" s="21">
        <v>7474.736430000001</v>
      </c>
      <c r="U75" s="21">
        <v>9834.01902</v>
      </c>
      <c r="V75" s="21">
        <v>50911.99533</v>
      </c>
      <c r="W75" s="21">
        <v>463.03677000000005</v>
      </c>
      <c r="X75" s="21">
        <v>9128.43918</v>
      </c>
      <c r="Y75" s="21">
        <v>2204.937</v>
      </c>
      <c r="Z75" s="21">
        <v>2050.5914100000005</v>
      </c>
      <c r="AA75" s="21">
        <v>22578.554880000003</v>
      </c>
    </row>
    <row r="76">
      <c r="A76" s="1">
        <v>2025.0</v>
      </c>
      <c r="B76" s="1" t="s">
        <v>46</v>
      </c>
      <c r="C76" s="10">
        <v>2087300.0000000002</v>
      </c>
      <c r="D76" s="10">
        <v>1.13</v>
      </c>
      <c r="E76" s="11">
        <v>40655.22</v>
      </c>
      <c r="F76" s="4">
        <v>1032.751</v>
      </c>
      <c r="G76" s="4">
        <v>376953.9</v>
      </c>
      <c r="H76" s="4">
        <v>12843.39</v>
      </c>
      <c r="I76" s="4">
        <v>3.41</v>
      </c>
      <c r="J76" s="4">
        <v>35.04</v>
      </c>
      <c r="K76" s="4">
        <v>12784.17</v>
      </c>
      <c r="L76" s="21">
        <v>251.32725</v>
      </c>
      <c r="M76" s="21">
        <v>30.15927</v>
      </c>
      <c r="N76" s="21">
        <v>20.10618</v>
      </c>
      <c r="O76" s="21">
        <v>452.38905</v>
      </c>
      <c r="P76" s="21">
        <v>100.5309</v>
      </c>
      <c r="Q76" s="21">
        <v>60.31854</v>
      </c>
      <c r="R76" s="21">
        <v>90.47780999999999</v>
      </c>
      <c r="S76" s="21">
        <v>18346.88</v>
      </c>
      <c r="T76" s="21">
        <v>183468.8</v>
      </c>
      <c r="U76" s="21">
        <v>18346.88</v>
      </c>
      <c r="V76" s="21">
        <v>91734.4</v>
      </c>
      <c r="W76" s="21">
        <v>14677.503999999999</v>
      </c>
      <c r="X76" s="21">
        <v>14677.503999999999</v>
      </c>
      <c r="Y76" s="21">
        <v>3669.3759999999997</v>
      </c>
      <c r="Z76" s="21">
        <v>3669.3759999999997</v>
      </c>
      <c r="AA76" s="21">
        <v>18346.88</v>
      </c>
    </row>
    <row r="77">
      <c r="A77" s="1">
        <v>2025.0</v>
      </c>
      <c r="B77" s="1" t="s">
        <v>47</v>
      </c>
      <c r="C77" s="10">
        <v>122700.0</v>
      </c>
      <c r="D77" s="10">
        <v>0.2</v>
      </c>
      <c r="E77" s="11">
        <v>8125.78</v>
      </c>
      <c r="F77" s="4">
        <v>85.2054</v>
      </c>
      <c r="G77" s="4">
        <v>31099.96</v>
      </c>
      <c r="H77" s="4">
        <v>5333.058</v>
      </c>
      <c r="I77" s="4">
        <v>17.15</v>
      </c>
      <c r="J77" s="4">
        <v>32.8369</v>
      </c>
      <c r="K77" s="4">
        <v>5300.221</v>
      </c>
      <c r="L77" s="21">
        <v>5.9922439350948755</v>
      </c>
      <c r="M77" s="21">
        <v>6.185081344209967</v>
      </c>
      <c r="N77" s="21">
        <v>13.505760764319914</v>
      </c>
      <c r="O77" s="21">
        <v>10.97030594076964</v>
      </c>
      <c r="P77" s="21">
        <v>6.099375829047704</v>
      </c>
      <c r="Q77" s="21">
        <v>21.404952411775135</v>
      </c>
      <c r="R77" s="21">
        <v>16.391179774782763</v>
      </c>
      <c r="S77" s="21">
        <v>12599.5114215</v>
      </c>
      <c r="T77" s="21">
        <v>3125.2550790000005</v>
      </c>
      <c r="U77" s="21">
        <v>5430.240951000001</v>
      </c>
      <c r="V77" s="21">
        <v>5346.4500105</v>
      </c>
      <c r="W77" s="21">
        <v>1117.21254</v>
      </c>
      <c r="X77" s="21">
        <v>4.4100495</v>
      </c>
      <c r="Y77" s="21">
        <v>29.400330000000004</v>
      </c>
      <c r="Z77" s="21">
        <v>651.2173094999999</v>
      </c>
      <c r="AA77" s="21">
        <v>1096.632309</v>
      </c>
    </row>
    <row r="78">
      <c r="A78" s="1">
        <v>2025.0</v>
      </c>
      <c r="B78" s="1" t="s">
        <v>48</v>
      </c>
      <c r="C78" s="10">
        <v>529100.0</v>
      </c>
      <c r="D78" s="10">
        <v>0.27</v>
      </c>
      <c r="E78" s="11">
        <v>45304.55</v>
      </c>
      <c r="F78" s="4">
        <v>421.4818</v>
      </c>
      <c r="G78" s="4">
        <v>153840.8</v>
      </c>
      <c r="H78" s="4">
        <v>42280.3</v>
      </c>
      <c r="I78" s="4">
        <v>27.48</v>
      </c>
      <c r="J78" s="4">
        <v>12597.57</v>
      </c>
      <c r="K78" s="4">
        <v>17786.82</v>
      </c>
      <c r="L78" s="21">
        <v>335.31716421836524</v>
      </c>
      <c r="M78" s="21">
        <v>14.007206266890876</v>
      </c>
      <c r="N78" s="21">
        <v>1.5857214641763255</v>
      </c>
      <c r="O78" s="21">
        <v>38.120240595159444</v>
      </c>
      <c r="P78" s="21">
        <v>19.6453270284067</v>
      </c>
      <c r="Q78" s="21">
        <v>10.269434244189538</v>
      </c>
      <c r="R78" s="21">
        <v>0.1636061828118431</v>
      </c>
      <c r="S78" s="21">
        <v>75798.96385</v>
      </c>
      <c r="T78" s="21">
        <v>22900.31259</v>
      </c>
      <c r="U78" s="21">
        <v>10968.285990000002</v>
      </c>
      <c r="V78" s="21">
        <v>15741.09663</v>
      </c>
      <c r="W78" s="21">
        <v>305.9494</v>
      </c>
      <c r="X78" s="21">
        <v>3640.79786</v>
      </c>
      <c r="Y78" s="21">
        <v>275.35446</v>
      </c>
      <c r="Z78" s="21">
        <v>780.1709700000001</v>
      </c>
      <c r="AA78" s="21">
        <v>22563.76825</v>
      </c>
    </row>
    <row r="79">
      <c r="A79" s="1">
        <v>2025.0</v>
      </c>
      <c r="B79" s="1" t="s">
        <v>49</v>
      </c>
      <c r="C79" s="10">
        <v>203600.0</v>
      </c>
      <c r="D79" s="10">
        <v>1.2</v>
      </c>
      <c r="E79" s="11">
        <v>12198.74</v>
      </c>
      <c r="F79" s="4">
        <v>115.9768</v>
      </c>
      <c r="G79" s="4">
        <v>42331.53</v>
      </c>
      <c r="H79" s="4">
        <v>13045.36</v>
      </c>
      <c r="I79" s="4">
        <v>30.82</v>
      </c>
      <c r="J79" s="4">
        <v>28.47</v>
      </c>
      <c r="K79" s="4">
        <v>12776.89</v>
      </c>
      <c r="L79" s="21">
        <v>83.51622501927473</v>
      </c>
      <c r="M79" s="21">
        <v>4.674138111943941</v>
      </c>
      <c r="N79" s="21">
        <v>4.977957089220298</v>
      </c>
      <c r="O79" s="21">
        <v>11.451638374262657</v>
      </c>
      <c r="P79" s="21">
        <v>4.249216465403584</v>
      </c>
      <c r="Q79" s="21">
        <v>2.558028312172957</v>
      </c>
      <c r="R79" s="21">
        <v>5.000796627721843</v>
      </c>
      <c r="S79" s="21">
        <v>6374.4345</v>
      </c>
      <c r="T79" s="21">
        <v>5099.5476</v>
      </c>
      <c r="U79" s="21">
        <v>10454.072580000002</v>
      </c>
      <c r="V79" s="21">
        <v>3920.2772175000005</v>
      </c>
      <c r="W79" s="21">
        <v>5227.036290000001</v>
      </c>
      <c r="X79" s="21">
        <v>2617.767768</v>
      </c>
      <c r="Y79" s="21">
        <v>849.9246</v>
      </c>
      <c r="Z79" s="21">
        <v>4340.9898945</v>
      </c>
      <c r="AA79" s="21">
        <v>3612.1795500000003</v>
      </c>
    </row>
    <row r="80">
      <c r="A80" s="1">
        <v>2025.0</v>
      </c>
      <c r="B80" s="1" t="s">
        <v>50</v>
      </c>
      <c r="C80" s="10">
        <v>1722400.0</v>
      </c>
      <c r="D80" s="10">
        <v>0.86</v>
      </c>
      <c r="E80" s="11">
        <v>182122.11</v>
      </c>
      <c r="F80" s="4">
        <v>1191.938</v>
      </c>
      <c r="G80" s="4">
        <v>435057.2</v>
      </c>
      <c r="H80" s="4">
        <v>267980.9</v>
      </c>
      <c r="I80" s="4">
        <v>61.6</v>
      </c>
      <c r="J80" s="4">
        <v>130642.4</v>
      </c>
      <c r="K80" s="4">
        <v>137338.6</v>
      </c>
      <c r="L80" s="21">
        <v>845.335205</v>
      </c>
      <c r="M80" s="21">
        <v>7.0937220000000005</v>
      </c>
      <c r="N80" s="21">
        <v>96.94753399999999</v>
      </c>
      <c r="O80" s="21">
        <v>33.104036</v>
      </c>
      <c r="P80" s="21">
        <v>108.770404</v>
      </c>
      <c r="Q80" s="21">
        <v>15.369731000000002</v>
      </c>
      <c r="R80" s="21">
        <v>75.666368</v>
      </c>
      <c r="S80" s="21">
        <v>263236.10599999997</v>
      </c>
      <c r="T80" s="21">
        <v>8630.692</v>
      </c>
      <c r="U80" s="21">
        <v>43153.46</v>
      </c>
      <c r="V80" s="21">
        <v>77676.228</v>
      </c>
      <c r="W80" s="21">
        <v>5178.4151999999995</v>
      </c>
      <c r="X80" s="21">
        <v>17261.384</v>
      </c>
      <c r="Y80" s="21">
        <v>4315.346</v>
      </c>
      <c r="Z80" s="21">
        <v>6473.018999999999</v>
      </c>
      <c r="AA80" s="21">
        <v>5609.949799999999</v>
      </c>
    </row>
  </sheetData>
  <mergeCells count="13">
    <mergeCell ref="I1:I2"/>
    <mergeCell ref="J1:J2"/>
    <mergeCell ref="K1:K2"/>
    <mergeCell ref="S1:AA1"/>
    <mergeCell ref="L1:R1"/>
    <mergeCell ref="A1:A2"/>
    <mergeCell ref="B1:B2"/>
    <mergeCell ref="C1:C2"/>
    <mergeCell ref="D1:D2"/>
    <mergeCell ref="F1:F2"/>
    <mergeCell ref="G1:G2"/>
    <mergeCell ref="H1:H2"/>
    <mergeCell ref="E1:E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2026-09-23T17:38:10Z</dcterms:created>
  <dc:creator>ASUS</dc:creator>
</cp:coreProperties>
</file>